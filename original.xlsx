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116"/>
  <workbookPr hidePivotFieldList="1"/>
  <mc:AlternateContent>
    <mc:Choice Requires="x15">
      <x15ac:absPath xmlns:x15ac="http://schemas.microsoft.com/office/spreadsheetml/2010/11/ac" url="/Users/ong/Downloads/Unprotect_XLSX/"/>
    </mc:Choice>
  </mc:AlternateContent>
  <xr:revisionPtr documentId="8_{FD363FBB-6A18-054A-9A0C-59CB6B744B63}" revIDLastSave="0" xr10:uidLastSave="{00000000-0000-0000-0000-000000000000}" xr6:coauthVersionLast="47" xr6:coauthVersionMax="47"/>
  <bookViews>
    <workbookView activeTab="1" tabRatio="789" windowHeight="6900" windowWidth="19200" xWindow="0" xr2:uid="{00000000-000D-0000-FFFF-FFFF00000000}" yWindow="500"/>
  </bookViews>
  <sheets>
    <sheet name="Дюрация" r:id="rId1" sheetId="6"/>
    <sheet name="ФОРМА СКБСЖ" r:id="rId2" sheetId="16"/>
    <sheet name="Свод" r:id="rId3" sheetId="19"/>
    <sheet name="Каналы" r:id="rId4" sheetId="17"/>
    <sheet name="Регионы" r:id="rId5" sheetId="18"/>
    <sheet name="спр" r:id="rId6" sheetId="27"/>
    <sheet name="ЛБ" r:id="rId7" sheetId="15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hidden="1" localSheetId="3" name="_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name="_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localSheetId="3" name="__________bb1">Svetla-[1]Principal!$A$1</definedName>
    <definedName hidden="1" localSheetId="1" name="__________bb1">Svetla-[1]Principal!$A$1</definedName>
    <definedName hidden="1" name="__________bb1">Svetla-[1]Principal!$A$1</definedName>
    <definedName hidden="1" localSheetId="3" name="__________key2">#REF!</definedName>
    <definedName hidden="1" localSheetId="1" name="__________key2">#REF!</definedName>
    <definedName hidden="1" name="__________key2">#REF!</definedName>
    <definedName hidden="1" localSheetId="3" name="_________key2">#REF!</definedName>
    <definedName hidden="1" localSheetId="1" name="_________key2">#REF!</definedName>
    <definedName hidden="1" name="_________key2">#REF!</definedName>
    <definedName hidden="1" localSheetId="3" name="________key2">#REF!</definedName>
    <definedName hidden="1" localSheetId="1" name="________key2">#REF!</definedName>
    <definedName hidden="1" name="________key2">#REF!</definedName>
    <definedName hidden="1" localSheetId="3" name="_______bb1">Svetla-[1]Principal!$A$1</definedName>
    <definedName hidden="1" localSheetId="1" name="_______bb1">Svetla-[1]Principal!$A$1</definedName>
    <definedName hidden="1" name="_______bb1">Svetla-[1]Principal!$A$1</definedName>
    <definedName hidden="1" localSheetId="3" name="_______key2">#REF!</definedName>
    <definedName hidden="1" localSheetId="1" name="_______key2">#REF!</definedName>
    <definedName hidden="1" name="_______key2">#REF!</definedName>
    <definedName hidden="1" localSheetId="3" name="______key2">#REF!</definedName>
    <definedName hidden="1" localSheetId="1" name="______key2">#REF!</definedName>
    <definedName hidden="1" name="______key2">#REF!</definedName>
    <definedName hidden="1" localSheetId="3" name="_____bb1">Svetla-[1]Principal!$A$1</definedName>
    <definedName hidden="1" localSheetId="1" name="_____bb1">Svetla-[1]Principal!$A$1</definedName>
    <definedName hidden="1" name="_____bb1">Svetla-[1]Principal!$A$1</definedName>
    <definedName hidden="1" localSheetId="3" name="_____key2">#REF!</definedName>
    <definedName hidden="1" localSheetId="1" name="_____key2">#REF!</definedName>
    <definedName hidden="1" name="_____key2">#REF!</definedName>
    <definedName hidden="1" localSheetId="3" name="____bb1">Svetla-[1]Principal!$A$1</definedName>
    <definedName hidden="1" localSheetId="1" name="____bb1">Svetla-[1]Principal!$A$1</definedName>
    <definedName hidden="1" name="____bb1">Svetla-[1]Principal!$A$1</definedName>
    <definedName hidden="1" localSheetId="3" name="____key2">#REF!</definedName>
    <definedName hidden="1" localSheetId="1" name="____key2">#REF!</definedName>
    <definedName hidden="1" name="____key2">#REF!</definedName>
    <definedName hidden="1" localSheetId="3" name="___bb1">Svetla-[1]Principal!$A$1</definedName>
    <definedName hidden="1" localSheetId="1" name="___bb1">Svetla-[1]Principal!$A$1</definedName>
    <definedName hidden="1" name="___bb1">Svetla-[1]Principal!$A$1</definedName>
    <definedName hidden="1" localSheetId="3" name="___key2">#REF!</definedName>
    <definedName hidden="1" localSheetId="1" name="___key2">#REF!</definedName>
    <definedName hidden="1" name="___key2">#REF!</definedName>
    <definedName hidden="1" localSheetId="3" name="__123Graph_A">#REF!</definedName>
    <definedName hidden="1" localSheetId="1" name="__123Graph_A">#REF!</definedName>
    <definedName hidden="1" name="__123Graph_A">#REF!</definedName>
    <definedName hidden="1" localSheetId="3" name="__123Graph_B">#REF!</definedName>
    <definedName hidden="1" localSheetId="1" name="__123Graph_B">#REF!</definedName>
    <definedName hidden="1" name="__123Graph_B">#REF!</definedName>
    <definedName hidden="1" localSheetId="3" name="__123Graph_X">#REF!</definedName>
    <definedName hidden="1" localSheetId="1" name="__123Graph_X">#REF!</definedName>
    <definedName hidden="1" name="__123Graph_X">#REF!</definedName>
    <definedName hidden="1" localSheetId="3" name="__bb1">Svetla-[1]Principal!$A$1</definedName>
    <definedName hidden="1" localSheetId="1" name="__bb1">Svetla-[1]Principal!$A$1</definedName>
    <definedName hidden="1" name="__bb1">Svetla-[1]Principal!$A$1</definedName>
    <definedName hidden="1" name="__FDS_HYPERLINK_TOGGLE_STATE__">"ON"</definedName>
    <definedName hidden="1" name="__IntlFixup">TRUE</definedName>
    <definedName hidden="1" localSheetId="3" name="__key2">#REF!</definedName>
    <definedName hidden="1" localSheetId="1" name="__key2">#REF!</definedName>
    <definedName hidden="1" name="__key2">#REF!</definedName>
    <definedName hidden="1" localSheetId="3" name="_1__123Graph_ACHART_7">#REF!</definedName>
    <definedName hidden="1" localSheetId="1" name="_1__123Graph_ACHART_7">#REF!</definedName>
    <definedName hidden="1" name="_1__123Graph_ACHART_7">#REF!</definedName>
    <definedName hidden="1" localSheetId="3" name="_10__123Graph_LBL_BCHART_7">#REF!</definedName>
    <definedName hidden="1" localSheetId="1" name="_10__123Graph_LBL_BCHART_7">#REF!</definedName>
    <definedName hidden="1" name="_10__123Graph_LBL_BCHART_7">#REF!</definedName>
    <definedName hidden="1" localSheetId="3" name="_11__123Graph_LBL_BCHART_8">#REF!</definedName>
    <definedName hidden="1" localSheetId="1" name="_11__123Graph_LBL_BCHART_8">#REF!</definedName>
    <definedName hidden="1" name="_11__123Graph_LBL_BCHART_8">#REF!</definedName>
    <definedName hidden="1" localSheetId="3" name="_12__123Graph_LBL_CCHART_7">#REF!</definedName>
    <definedName hidden="1" localSheetId="1" name="_12__123Graph_LBL_CCHART_7">#REF!</definedName>
    <definedName hidden="1" name="_12__123Graph_LBL_CCHART_7">#REF!</definedName>
    <definedName hidden="1" localSheetId="3" name="_123">#REF!</definedName>
    <definedName hidden="1" localSheetId="1" name="_123">#REF!</definedName>
    <definedName hidden="1" name="_123">#REF!</definedName>
    <definedName hidden="1" localSheetId="3" name="_13__123Graph_LBL_CCHART_8">#REF!</definedName>
    <definedName hidden="1" localSheetId="1" name="_13__123Graph_LBL_CCHART_8">#REF!</definedName>
    <definedName hidden="1" name="_13__123Graph_LBL_CCHART_8">#REF!</definedName>
    <definedName hidden="1" localSheetId="3" name="_14__123Graph_LBL_DCHART_8">#REF!</definedName>
    <definedName hidden="1" localSheetId="1" name="_14__123Graph_LBL_DCHART_8">#REF!</definedName>
    <definedName hidden="1" name="_14__123Graph_LBL_DCHART_8">#REF!</definedName>
    <definedName hidden="1" localSheetId="3" name="_15__123Graph_XCHART_8">#REF!</definedName>
    <definedName hidden="1" localSheetId="1" name="_15__123Graph_XCHART_8">#REF!</definedName>
    <definedName hidden="1" name="_15__123Graph_XCHART_8">#REF!</definedName>
    <definedName hidden="1" localSheetId="3" name="_2">#REF!</definedName>
    <definedName hidden="1" localSheetId="1" name="_2">#REF!</definedName>
    <definedName hidden="1" name="_2">#REF!</definedName>
    <definedName hidden="1" localSheetId="3" name="_2__123Graph_ADIAGR_22">#REF!</definedName>
    <definedName hidden="1" localSheetId="1" name="_2__123Graph_ADIAGR_22">#REF!</definedName>
    <definedName hidden="1" name="_2__123Graph_ADIAGR_22">#REF!</definedName>
    <definedName hidden="1" localSheetId="3" name="_20">Svetla-[1]Principal!$A$1</definedName>
    <definedName hidden="1" localSheetId="1" name="_20">Svetla-[1]Principal!$A$1</definedName>
    <definedName hidden="1" name="_20">Svetla-[1]Principal!$A$1</definedName>
    <definedName hidden="1" localSheetId="3" name="_22">Svetla-[1]Principal!$A$1</definedName>
    <definedName hidden="1" localSheetId="1" name="_22">Svetla-[1]Principal!$A$1</definedName>
    <definedName hidden="1" name="_22">Svetla-[1]Principal!$A$1</definedName>
    <definedName hidden="1" localSheetId="3" name="_23">Svetla-[1]Principal!$A$1</definedName>
    <definedName hidden="1" localSheetId="1" name="_23">Svetla-[1]Principal!$A$1</definedName>
    <definedName hidden="1" name="_23">Svetla-[1]Principal!$A$1</definedName>
    <definedName hidden="1" localSheetId="3" name="_256">Svetla-[1]Principal!$A$1</definedName>
    <definedName hidden="1" localSheetId="1" name="_256">Svetla-[1]Principal!$A$1</definedName>
    <definedName hidden="1" name="_256">Svetla-[1]Principal!$A$1</definedName>
    <definedName hidden="1" localSheetId="3" name="_3">#REF!</definedName>
    <definedName hidden="1" localSheetId="1" name="_3">#REF!</definedName>
    <definedName hidden="1" name="_3">#REF!</definedName>
    <definedName hidden="1" localSheetId="3" name="_3__123Graph_BCHART_7">#REF!</definedName>
    <definedName hidden="1" localSheetId="1" name="_3__123Graph_BCHART_7">#REF!</definedName>
    <definedName hidden="1" name="_3__123Graph_BCHART_7">#REF!</definedName>
    <definedName hidden="1" localSheetId="3" name="_4__123Graph_BCHART_8">#REF!</definedName>
    <definedName hidden="1" localSheetId="1" name="_4__123Graph_BCHART_8">#REF!</definedName>
    <definedName hidden="1" name="_4__123Graph_BCHART_8">#REF!</definedName>
    <definedName hidden="1" name="_456">{#N/A,#N/A,FALSE,"Aging Summary";#N/A,#N/A,FALSE,"Ratio Analysis";#N/A,#N/A,FALSE,"Test 120 Day Accts";#N/A,#N/A,FALSE,"Tickmarks"}</definedName>
    <definedName hidden="1" localSheetId="3" name="_5__123Graph_CCHART_7">#REF!</definedName>
    <definedName hidden="1" localSheetId="1" name="_5__123Graph_CCHART_7">#REF!</definedName>
    <definedName hidden="1" name="_5__123Graph_CCHART_7">#REF!</definedName>
    <definedName hidden="1" localSheetId="3" name="_6">Дог-[2]Име!$A$1</definedName>
    <definedName hidden="1" localSheetId="1" name="_6">Дог-[2]Име!$A$1</definedName>
    <definedName hidden="1" name="_6">Дог-[2]Име!$A$1</definedName>
    <definedName hidden="1" localSheetId="3" name="_6__123Graph_CCHART_8">#REF!</definedName>
    <definedName hidden="1" localSheetId="1" name="_6__123Graph_CCHART_8">#REF!</definedName>
    <definedName hidden="1" name="_6__123Graph_CCHART_8">#REF!</definedName>
    <definedName hidden="1" localSheetId="3" name="_7__123Graph_DCHART_8">#REF!</definedName>
    <definedName hidden="1" localSheetId="1" name="_7__123Graph_DCHART_8">#REF!</definedName>
    <definedName hidden="1" name="_7__123Graph_DCHART_8">#REF!</definedName>
    <definedName hidden="1" localSheetId="3" name="_78p">Svetla-[1]Principal!$A$1</definedName>
    <definedName hidden="1" localSheetId="1" name="_78p">Svetla-[1]Principal!$A$1</definedName>
    <definedName hidden="1" name="_78p">Svetla-[1]Principal!$A$1</definedName>
    <definedName hidden="1" localSheetId="3" name="_8__123Graph_LBL_ACHART_7">#REF!</definedName>
    <definedName hidden="1" localSheetId="1" name="_8__123Graph_LBL_ACHART_7">#REF!</definedName>
    <definedName hidden="1" name="_8__123Graph_LBL_ACHART_7">#REF!</definedName>
    <definedName hidden="1" localSheetId="3" name="_9__123Graph_LBL_ADIAGR_22">#REF!</definedName>
    <definedName hidden="1" localSheetId="1" name="_9__123Graph_LBL_ADIAGR_22">#REF!</definedName>
    <definedName hidden="1" name="_9__123Graph_LBL_ADIAGR_22">#REF!</definedName>
    <definedName hidden="1" localSheetId="3" name="_bb1">Svetla-[1]Principal!$A$1</definedName>
    <definedName hidden="1" localSheetId="1" name="_bb1">Svetla-[1]Principal!$A$1</definedName>
    <definedName hidden="1" name="_bb1">Svetla-[1]Principal!$A$1</definedName>
    <definedName hidden="1" name="_dd1">{"Valuation_Common",#N/A,FALSE,"Valuation"}</definedName>
    <definedName hidden="1" name="_ee1">{#N/A,#N/A,FALSE,"Aging Summary";#N/A,#N/A,FALSE,"Ratio Analysis";#N/A,#N/A,FALSE,"Test 120 Day Accts";#N/A,#N/A,FALSE,"Tickmarks"}</definedName>
    <definedName hidden="1" name="_ee4">{#N/A,#N/A,FALSE,"Aging Summary";#N/A,#N/A,FALSE,"Ratio Analysis";#N/A,#N/A,FALSE,"Test 120 Day Accts";#N/A,#N/A,FALSE,"Tickmarks"}</definedName>
    <definedName hidden="1" localSheetId="3" name="_Fill">#REF!</definedName>
    <definedName hidden="1" localSheetId="1" name="_Fill">#REF!</definedName>
    <definedName hidden="1" name="_Fill">#REF!</definedName>
    <definedName hidden="1" localSheetId="3" name="_xlnm._FilterDatabase">Каналы!$A$3:$D$12</definedName>
    <definedName hidden="1" localSheetId="6" name="_xlnm._FilterDatabase">ЛБ!$B$3:$C$54</definedName>
    <definedName hidden="1" localSheetId="4" name="_xlnm._FilterDatabase">Регионы!$B$2:$I$79</definedName>
    <definedName hidden="1" localSheetId="1" name="_xlnm._FilterDatabase">'ФОРМА СКБСЖ'!$A$5:$BC$161</definedName>
    <definedName hidden="1" name="_Fin1">{"Valuation_Common",#N/A,FALSE,"Valuation"}</definedName>
    <definedName hidden="1" localSheetId="3" name="_k">#REF!</definedName>
    <definedName hidden="1" localSheetId="1" name="_k">#REF!</definedName>
    <definedName hidden="1" name="_k">#REF!</definedName>
    <definedName hidden="1" localSheetId="3" name="_Key1">#REF!</definedName>
    <definedName hidden="1" localSheetId="1" name="_Key1">#REF!</definedName>
    <definedName hidden="1" name="_Key1">#REF!</definedName>
    <definedName hidden="1" localSheetId="3" name="_Key2">#REF!</definedName>
    <definedName hidden="1" localSheetId="1" name="_Key2">#REF!</definedName>
    <definedName hidden="1" name="_Key2">#REF!</definedName>
    <definedName hidden="1" localSheetId="3" name="_lll">Svetla-[1]Principal!$A$1</definedName>
    <definedName hidden="1" localSheetId="1" name="_lll">Svetla-[1]Principal!$A$1</definedName>
    <definedName hidden="1" name="_lll">Svetla-[1]Principal!$A$1</definedName>
    <definedName hidden="1" name="_Order1">255</definedName>
    <definedName hidden="1" name="_Order2">255</definedName>
    <definedName hidden="1" localSheetId="3" name="_P2">#REF!</definedName>
    <definedName hidden="1" localSheetId="1" name="_P2">#REF!</definedName>
    <definedName hidden="1" name="_P2">#REF!</definedName>
    <definedName hidden="1" localSheetId="3" name="_Parse_In">#REF!</definedName>
    <definedName hidden="1" localSheetId="1" name="_Parse_In">#REF!</definedName>
    <definedName hidden="1" name="_Parse_In">#REF!</definedName>
    <definedName hidden="1" localSheetId="3" name="_pin">#REF!</definedName>
    <definedName hidden="1" localSheetId="1" name="_pin">#REF!</definedName>
    <definedName hidden="1" name="_pin">#REF!</definedName>
    <definedName hidden="1" name="_q7">{#N/A,#N/A,FALSE,"Aging Summary";#N/A,#N/A,FALSE,"Ratio Analysis";#N/A,#N/A,FALSE,"Test 120 Day Accts";#N/A,#N/A,FALSE,"Tickmarks"}</definedName>
    <definedName hidden="1" name="_qq1">{"Valuation_Common",#N/A,FALSE,"Valuation"}</definedName>
    <definedName hidden="1" localSheetId="3" name="_Sort">#REF!</definedName>
    <definedName hidden="1" localSheetId="1" name="_Sort">#REF!</definedName>
    <definedName hidden="1" name="_Sort">#REF!</definedName>
    <definedName hidden="1" localSheetId="3" name="_Table2_In1">#REF!</definedName>
    <definedName hidden="1" localSheetId="1" name="_Table2_In1">#REF!</definedName>
    <definedName hidden="1" name="_Table2_In1">#REF!</definedName>
    <definedName hidden="1" localSheetId="3" name="_Table2_In2">#REF!</definedName>
    <definedName hidden="1" localSheetId="1" name="_Table2_In2">#REF!</definedName>
    <definedName hidden="1" name="_Table2_In2">#REF!</definedName>
    <definedName hidden="1" localSheetId="3" name="_Table2_Out">#REF!</definedName>
    <definedName hidden="1" localSheetId="1" name="_Table2_Out">#REF!</definedName>
    <definedName hidden="1" name="_Table2_Out">#REF!</definedName>
    <definedName hidden="1" name="_wrn1">{#N/A,#N/A,FALSE,"Aging Summary";#N/A,#N/A,FALSE,"Ratio Analysis";#N/A,#N/A,FALSE,"Test 120 Day Accts";#N/A,#N/A,FALSE,"Tickmarks"}</definedName>
    <definedName hidden="1" localSheetId="3" name="_нн">Svetla-[1]Principal!$A$1</definedName>
    <definedName hidden="1" localSheetId="1" name="_нн">Svetla-[1]Principal!$A$1</definedName>
    <definedName hidden="1" name="_нн">Svetla-[1]Principal!$A$1</definedName>
    <definedName hidden="1" localSheetId="3" name="_рп">Дог-[2]Име!$A$1</definedName>
    <definedName hidden="1" localSheetId="1" name="_рп">Дог-[2]Име!$A$1</definedName>
    <definedName hidden="1" name="_рп">Дог-[2]Име!$A$1</definedName>
    <definedName hidden="1" localSheetId="3" name="a">Svetla-[1]Principal!$A$1</definedName>
    <definedName hidden="1" localSheetId="1" name="a">Svetla-[1]Principal!$A$1</definedName>
    <definedName hidden="1" name="a">Svetla-[1]Principal!$A$1</definedName>
    <definedName hidden="1" localSheetId="3" name="aa">Svetla-[1]Principal!$A$1</definedName>
    <definedName hidden="1" localSheetId="1" name="aa">Svetla-[1]Principal!$A$1</definedName>
    <definedName hidden="1" name="aa">Svetla-[1]Principal!$A$1</definedName>
    <definedName hidden="1" name="aaa">{#N/A,#N/A,FALSE,"Aging Summary";#N/A,#N/A,FALSE,"Ratio Analysis";#N/A,#N/A,FALSE,"Test 120 Day Accts";#N/A,#N/A,FALSE,"Tickmarks"}</definedName>
    <definedName hidden="1" name="aaa0">{#N/A,#N/A,FALSE,"Aging Summary";#N/A,#N/A,FALSE,"Ratio Analysis";#N/A,#N/A,FALSE,"Test 120 Day Accts";#N/A,#N/A,FALSE,"Tickmarks"}</definedName>
    <definedName hidden="1" localSheetId="3" name="aaaaa">Svetla-[1]Principal!$A$1</definedName>
    <definedName hidden="1" localSheetId="1" name="aaaaa">Svetla-[1]Principal!$A$1</definedName>
    <definedName hidden="1" name="aaaaa">Svetla-[1]Principal!$A$1</definedName>
    <definedName hidden="1" name="abc">{#N/A,#N/A,FALSE,"Aging Summary";#N/A,#N/A,FALSE,"Ratio Analysis";#N/A,#N/A,FALSE,"Test 120 Day Accts";#N/A,#N/A,FALSE,"Tickmarks"}</definedName>
    <definedName hidden="1" localSheetId="3" name="abcde">Дог-[2]Име!$A$1</definedName>
    <definedName hidden="1" localSheetId="1" name="abcde">Дог-[2]Име!$A$1</definedName>
    <definedName hidden="1" name="abcde">Дог-[2]Име!$A$1</definedName>
    <definedName hidden="1" name="AccessDatabase">"C:\My Documents\vlad\Var_2\can270398v2t05.mdb"</definedName>
    <definedName hidden="1" localSheetId="3" name="Accrue">{#N/A,#N/A,FALSE,"Basisdaten Schadensätze";#N/A,#N/A,FALSE,"Schad.Satz";#N/A,#N/A,FALSE,"SchdSatzAufs.Behörde";#N/A,#N/A,FALSE,"Schd.SatzAufs.Beh.intausend"}</definedName>
    <definedName hidden="1" name="Accrue">{#N/A,#N/A,FALSE,"Basisdaten Schadensätze";#N/A,#N/A,FALSE,"Schad.Satz";#N/A,#N/A,FALSE,"SchdSatzAufs.Behörde";#N/A,#N/A,FALSE,"Schd.SatzAufs.Beh.intausend"}</definedName>
    <definedName hidden="1" name="agr">{#N/A,#N/A,FALSE,"Aging Summary";#N/A,#N/A,FALSE,"Ratio Analysis";#N/A,#N/A,FALSE,"Test 120 Day Accts";#N/A,#N/A,FALSE,"Tickmarks"}</definedName>
    <definedName hidden="1" name="ahgfj">8</definedName>
    <definedName hidden="1" name="ajhakxja">{#N/A,#N/A,FALSE,"ОТЛАДКА"}</definedName>
    <definedName hidden="1" name="analysis">{#N/A,#N/A,FALSE,"Aging Summary";#N/A,#N/A,FALSE,"Ratio Analysis";#N/A,#N/A,FALSE,"Test 120 Day Accts";#N/A,#N/A,FALSE,"Tickmarks"}</definedName>
    <definedName hidden="1" name="Analysis3">{#N/A,#N/A,FALSE,"Aging Summary";#N/A,#N/A,FALSE,"Ratio Analysis";#N/A,#N/A,FALSE,"Test 120 Day Accts";#N/A,#N/A,FALSE,"Tickmarks"}</definedName>
    <definedName hidden="1" name="Analysys1">{#N/A,#N/A,FALSE,"Aging Summary";#N/A,#N/A,FALSE,"Ratio Analysis";#N/A,#N/A,FALSE,"Test 120 Day Accts";#N/A,#N/A,FALSE,"Tickmarks"}</definedName>
    <definedName hidden="1" name="anscount">1</definedName>
    <definedName hidden="1" localSheetId="3" name="arg">#REF!</definedName>
    <definedName hidden="1" localSheetId="1" name="arg">#REF!</definedName>
    <definedName hidden="1" name="arg">#REF!</definedName>
    <definedName hidden="1" name="AS2DocOpenMode">"AS2DocumentEdit"</definedName>
    <definedName hidden="1" name="AS2NamedRange">3</definedName>
    <definedName hidden="1" name="AS2ReportLS">1</definedName>
    <definedName hidden="1" localSheetId="3" name="AS2StaticLS">#REF!</definedName>
    <definedName hidden="1" localSheetId="1" name="AS2StaticLS">#REF!</definedName>
    <definedName hidden="1" name="AS2StaticLS">#REF!</definedName>
    <definedName hidden="1" name="AS2SyncStepLS">0</definedName>
    <definedName hidden="1" localSheetId="3" name="AS2TickmarkLS">#REF!</definedName>
    <definedName hidden="1" localSheetId="1" name="AS2TickmarkLS">#REF!</definedName>
    <definedName hidden="1" name="AS2TickmarkLS">#REF!</definedName>
    <definedName hidden="1" name="AS2VersionLS">300</definedName>
    <definedName hidden="1" localSheetId="3" name="asd">#REF!</definedName>
    <definedName hidden="1" localSheetId="1" name="asd">#REF!</definedName>
    <definedName hidden="1" name="asd">#REF!</definedName>
    <definedName hidden="1" localSheetId="3" name="b">#REF!</definedName>
    <definedName hidden="1" localSheetId="1" name="b">#REF!</definedName>
    <definedName hidden="1" name="b">#REF!</definedName>
    <definedName hidden="1" name="bb">{#N/A,#N/A,FALSE,"Aging Summary";#N/A,#N/A,FALSE,"Ratio Analysis";#N/A,#N/A,FALSE,"Test 120 Day Accts";#N/A,#N/A,FALSE,"Tickmarks"}</definedName>
    <definedName hidden="1" name="bbb">{#N/A,#N/A,FALSE,"Aging Summary";#N/A,#N/A,FALSE,"Ratio Analysis";#N/A,#N/A,FALSE,"Test 120 Day Accts";#N/A,#N/A,FALSE,"Tickmarks"}</definedName>
    <definedName hidden="1" name="BFRTENZXELEQWRRVSSUSV1">[3]Просрочки!$A$1</definedName>
    <definedName hidden="1" localSheetId="3" name="BFRTENZXELEQWRRVSSUSV2">Svetla-[1]Principal!$A$1</definedName>
    <definedName hidden="1" localSheetId="1" name="BFRTENZXELEQWRRVSSUSV2">Svetla-[1]Principal!$A$1</definedName>
    <definedName hidden="1" name="BFRTENZXELEQWRRVSSUSV2">Svetla-[1]Principal!$A$1</definedName>
    <definedName hidden="1" name="BFRTENZXELEQWRRVSSUSV3">[3]Sheet1!$A$1</definedName>
    <definedName hidden="1" localSheetId="3" name="BFRTENZXELEQWRRVSSUSV4">Дог-[2]Име!$A$1</definedName>
    <definedName hidden="1" localSheetId="1" name="BFRTENZXELEQWRRVSSUSV4">Дог-[2]Име!$A$1</definedName>
    <definedName hidden="1" name="BFRTENZXELEQWRRVSSUSV4">Дог-[2]Име!$A$1</definedName>
    <definedName hidden="1" name="BG_Del">15</definedName>
    <definedName hidden="1" name="BG_Ins">4</definedName>
    <definedName hidden="1" name="BG_Mod">6</definedName>
    <definedName hidden="1" localSheetId="3" name="bl">#REF!</definedName>
    <definedName hidden="1" localSheetId="1" name="bl">#REF!</definedName>
    <definedName hidden="1" name="bl">#REF!</definedName>
    <definedName hidden="1" localSheetId="3" name="BLPH2">#REF!</definedName>
    <definedName hidden="1" localSheetId="1" name="BLPH2">#REF!</definedName>
    <definedName hidden="1" name="BLPH2">#REF!</definedName>
    <definedName hidden="1" localSheetId="3" name="cc">Svetla-[1]Principal!$A$1</definedName>
    <definedName hidden="1" localSheetId="1" name="cc">Svetla-[1]Principal!$A$1</definedName>
    <definedName hidden="1" name="cc">Svetla-[1]Principal!$A$1</definedName>
    <definedName hidden="1" name="CIQWBGuid">"c02a8720-9df8-46ae-a9a0-3fca9bb30064"</definedName>
    <definedName hidden="1" name="cm_an">[4]SIG_LANGUE!$L$9</definedName>
    <definedName hidden="1" name="cm_baco">[4]SIG_LANGUE!$B$5</definedName>
    <definedName hidden="1" name="cm_camp">[4]SIG_LANGUE!$L$6</definedName>
    <definedName hidden="1" name="cm_canas">[4]SIG_LANGUE!$K$5</definedName>
    <definedName hidden="1" name="cm_cat">[4]SIG_LANGUE!$L$7</definedName>
    <definedName hidden="1" name="cm_cp">[4]SIG_LANGUE!$L$5</definedName>
    <definedName hidden="1" name="cm_devc">[4]SIG_LANGUE!$G$5</definedName>
    <definedName hidden="1" name="cm_entc">[4]SIG_LANGUE!$C$5</definedName>
    <definedName hidden="1" name="cm_entg">[4]SIG_LANGUE!$D$5</definedName>
    <definedName hidden="1" name="cm_entg.uni">[4]SIG_LANGUE!$D$6</definedName>
    <definedName hidden="1" name="cm_ents">[4]SIG_LANGUE!$I$5</definedName>
    <definedName hidden="1" name="cm_ents.uni">[4]SIG_LANGUE!$I$6</definedName>
    <definedName hidden="1" name="cm_etap">[4]SIG_LANGUE!$O$6</definedName>
    <definedName hidden="1" name="cm_etat.code">[4]SIG_LANGUE!$A$6</definedName>
    <definedName hidden="1" name="cm_etat.desc">[4]SIG_LANGUE!$B$6</definedName>
    <definedName hidden="1" name="cm_flux">[4]SIG_LANGUE!$N$5</definedName>
    <definedName hidden="1" name="cm_he">[4]SIG_LANGUE!$C$6</definedName>
    <definedName hidden="1" name="cm_meva">[4]SIG_LANGUE!$E$5</definedName>
    <definedName hidden="1" name="cm_mois">[4]SIG_LANGUE!$L$10</definedName>
    <definedName hidden="1" name="cm_nat">[4]SIG_LANGUE!$F$5</definedName>
    <definedName hidden="1" name="cm_org">[4]SIG_LANGUE!$J$5</definedName>
    <definedName hidden="1" name="cm_per">[4]SIG_LANGUE!$L$8</definedName>
    <definedName hidden="1" name="cm_perrep">[4]SIG_LANGUE!$N$6</definedName>
    <definedName hidden="1" name="cm_pha">[4]SIG_LANGUE!$M$6</definedName>
    <definedName hidden="1" name="cm_rub">[4]SIG_LANGUE!$M$5</definedName>
    <definedName hidden="1" name="cm_uni">[4]SIG_LANGUE!$O$5</definedName>
    <definedName hidden="1" name="cm_user">[4]SIG_LANGUE!$A$5</definedName>
    <definedName hidden="1" name="cm_vrgl">[4]SIG_LANGUE!$H$5</definedName>
    <definedName hidden="1" name="czz">{#N/A,#N/A,FALSE,"Aging Summary";#N/A,#N/A,FALSE,"Ratio Analysis";#N/A,#N/A,FALSE,"Test 120 Day Accts";#N/A,#N/A,FALSE,"Tickmarks"}</definedName>
    <definedName hidden="1" name="dd">{"Valuation_Common",#N/A,FALSE,"Valuation"}</definedName>
    <definedName hidden="1" name="ddddd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localSheetId="3" name="delete1">#REF!</definedName>
    <definedName hidden="1" localSheetId="1" name="delete1">#REF!</definedName>
    <definedName hidden="1" name="delete1">#REF!</definedName>
    <definedName hidden="1" localSheetId="3" name="delete2">#REF!</definedName>
    <definedName hidden="1" localSheetId="1" name="delete2">#REF!</definedName>
    <definedName hidden="1" name="delete2">#REF!</definedName>
    <definedName hidden="1" localSheetId="3" name="delete3">#REF!</definedName>
    <definedName hidden="1" localSheetId="1" name="delete3">#REF!</definedName>
    <definedName hidden="1" name="delete3">#REF!</definedName>
    <definedName hidden="1" localSheetId="3" name="delete4">#REF!</definedName>
    <definedName hidden="1" localSheetId="1" name="delete4">#REF!</definedName>
    <definedName hidden="1" name="delete4">#REF!</definedName>
    <definedName hidden="1" name="dfgdfhfv">1</definedName>
    <definedName hidden="1" localSheetId="3" name="dfgh">#REF!</definedName>
    <definedName hidden="1" localSheetId="1" name="dfgh">#REF!</definedName>
    <definedName hidden="1" name="dfgh">#REF!</definedName>
    <definedName hidden="1" name="DFLGFADJKHGF">26</definedName>
    <definedName hidden="1" localSheetId="3" name="dgdgd">Дог-[2]Име!$A$1</definedName>
    <definedName hidden="1" localSheetId="1" name="dgdgd">Дог-[2]Име!$A$1</definedName>
    <definedName hidden="1" name="dgdgd">Дог-[2]Име!$A$1</definedName>
    <definedName hidden="1" name="dis">{#N/A,#N/A,FALSE,"Aging Summary";#N/A,#N/A,FALSE,"Ratio Analysis";#N/A,#N/A,FALSE,"Test 120 Day Accts";#N/A,#N/A,FALSE,"Tickmarks"}</definedName>
    <definedName hidden="1" name="Discl">{"Valuation_Common",#N/A,FALSE,"Valuation"}</definedName>
    <definedName hidden="1" name="discl1">{"Valuation_Common",#N/A,FALSE,"Valuation"}</definedName>
    <definedName hidden="1" localSheetId="3" name="dsad">Svetla-[1]Principal!$A$1</definedName>
    <definedName hidden="1" localSheetId="1" name="dsad">Svetla-[1]Principal!$A$1</definedName>
    <definedName hidden="1" name="dsad">Svetla-[1]Principal!$A$1</definedName>
    <definedName hidden="1" localSheetId="3" name="dvdvdvd">Svetla-[1]Principal!$A$1</definedName>
    <definedName hidden="1" localSheetId="1" name="dvdvdvd">Svetla-[1]Principal!$A$1</definedName>
    <definedName hidden="1" name="dvdvdvd">Svetla-[1]Principal!$A$1</definedName>
    <definedName hidden="1" name="eeeeeeeeeeee">{#N/A,#N/A,FALSE,"Aging Summary";#N/A,#N/A,FALSE,"Ratio Analysis";#N/A,#N/A,FALSE,"Test 120 Day Accts";#N/A,#N/A,FALSE,"Tickmarks"}</definedName>
    <definedName hidden="1" localSheetId="3" name="eger">{#N/A,#N/A,FALSE,"Basisdaten Schadensätze";#N/A,#N/A,FALSE,"Schad.Satz";#N/A,#N/A,FALSE,"SchdSatzAufs.Behörde";#N/A,#N/A,FALSE,"Schd.SatzAufs.Beh.intausend"}</definedName>
    <definedName hidden="1" name="eger">{#N/A,#N/A,FALSE,"Basisdaten Schadensätze";#N/A,#N/A,FALSE,"Schad.Satz";#N/A,#N/A,FALSE,"SchdSatzAufs.Behörde";#N/A,#N/A,FALSE,"Schd.SatzAufs.Beh.intausend"}</definedName>
    <definedName hidden="1" localSheetId="3" name="ergerg">{#N/A,#N/A,FALSE,"Bilanz 31.12.1996 Verein";#N/A,#N/A,FALSE,"Erfolgsrechnung 1996 Verein"}</definedName>
    <definedName hidden="1" name="ergerg">{#N/A,#N/A,FALSE,"Bilanz 31.12.1996 Verein";#N/A,#N/A,FALSE,"Erfolgsrechnung 1996 Verein"}</definedName>
    <definedName hidden="1" localSheetId="3" name="ewfw">{#N/A,#N/A,FALSE,"Lohnberechnung";#N/A,#N/A,FALSE,"Basisdaten"}</definedName>
    <definedName hidden="1" name="ewfw">{#N/A,#N/A,FALSE,"Lohnberechnung";#N/A,#N/A,FALSE,"Basisdaten"}</definedName>
    <definedName hidden="1" name="ExactAddinReports">1</definedName>
    <definedName hidden="1" localSheetId="3" name="fdfgdg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name="fdfgdg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name="fdgggg">"3RHIIYBU7DN3F5E7HSRIG7OTJ"</definedName>
    <definedName hidden="1" name="fff">{#N/A,#N/A,FALSE,"Aging Summary";#N/A,#N/A,FALSE,"Ratio Analysis";#N/A,#N/A,FALSE,"Test 120 Day Accts";#N/A,#N/A,FALSE,"Tickmarks"}</definedName>
    <definedName hidden="1" localSheetId="3" name="ffg">Svetla-[1]Principal!$A$1</definedName>
    <definedName hidden="1" localSheetId="1" name="ffg">Svetla-[1]Principal!$A$1</definedName>
    <definedName hidden="1" name="ffg">Svetla-[1]Principal!$A$1</definedName>
    <definedName hidden="1" localSheetId="3" name="fgfg">Svetla-[1]Principal!$A$1</definedName>
    <definedName hidden="1" localSheetId="1" name="fgfg">Svetla-[1]Principal!$A$1</definedName>
    <definedName hidden="1" name="fgfg">Svetla-[1]Principal!$A$1</definedName>
    <definedName hidden="1" localSheetId="3" name="fgfgf">Svetla-[1]Principal!$A$1</definedName>
    <definedName hidden="1" localSheetId="1" name="fgfgf">Svetla-[1]Principal!$A$1</definedName>
    <definedName hidden="1" name="fgfgf">Svetla-[1]Principal!$A$1</definedName>
    <definedName hidden="1" name="fgfgfg">{#N/A,#N/A,FALSE,"NBU rates 1999"}</definedName>
    <definedName hidden="1" name="FGHFHADBGDF">26</definedName>
    <definedName hidden="1" localSheetId="3" name="fi">#REF!</definedName>
    <definedName hidden="1" localSheetId="1" name="fi">#REF!</definedName>
    <definedName hidden="1" name="fi">#REF!</definedName>
    <definedName hidden="1" name="Fin">{"Valuation_Common",#N/A,FALSE,"Valuation"}</definedName>
    <definedName hidden="1" name="Finance">{"Valuation_Common",#N/A,FALSE,"Valuation"}</definedName>
    <definedName hidden="1" name="Finance1">{"Valuation_Common",#N/A,FALSE,"Valuation"}</definedName>
    <definedName hidden="1" name="FJK">"3MXAD5LO7CKS15J6SZUAVPLRB"</definedName>
    <definedName hidden="1" localSheetId="3" name="fwfe">{#N/A,#N/A,FALSE,"Bilanz 31.12.1996 AG";#N/A,#N/A,FALSE,"SU-LV Solvabilität";#N/A,#N/A,FALSE,"Erfolgsrechnung 1996 der AG"}</definedName>
    <definedName hidden="1" name="fwfe">{#N/A,#N/A,FALSE,"Bilanz 31.12.1996 AG";#N/A,#N/A,FALSE,"SU-LV Solvabilität";#N/A,#N/A,FALSE,"Erfolgsrechnung 1996 der AG"}</definedName>
    <definedName hidden="1" name="ggg">{#N/A,#N/A,FALSE,"Aging Summary";#N/A,#N/A,FALSE,"Ratio Analysis";#N/A,#N/A,FALSE,"Test 120 Day Accts";#N/A,#N/A,FALSE,"Tickmarks"}</definedName>
    <definedName hidden="1" name="gggd">{#N/A,#N/A,FALSE,"ОТЛАДКА"}</definedName>
    <definedName hidden="1" localSheetId="3" name="ggs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hidden="1" name="ggs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hidden="1" name="ghd">{#N/A,#N/A,FALSE,"Aging Summary";#N/A,#N/A,FALSE,"Ratio Analysis";#N/A,#N/A,FALSE,"Test 120 Day Accts";#N/A,#N/A,FALSE,"Tickmarks"}</definedName>
    <definedName hidden="1" localSheetId="3" name="gs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hidden="1" name="gs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hidden="1" localSheetId="3" name="H">{#N/A,#N/A,FALSE,"Daten für Geschäftsverlauf";#N/A,#N/A,FALSE,"Nw 212-Nw 219 (alt)"}</definedName>
    <definedName hidden="1" name="H">{#N/A,#N/A,FALSE,"Daten für Geschäftsverlauf";#N/A,#N/A,FALSE,"Nw 212-Nw 219 (alt)"}</definedName>
    <definedName hidden="1" localSheetId="3" name="hkhkhk">#REF!</definedName>
    <definedName hidden="1" localSheetId="1" name="hkhkhk">#REF!</definedName>
    <definedName hidden="1" name="hkhkhk">#REF!</definedName>
    <definedName hidden="1" name="HTML_CodePage">1251</definedName>
    <definedName hidden="1" name="HTML_Control">{"'Котировки'!$A$10:$E$131"}</definedName>
    <definedName hidden="1" name="HTML_OBDlg2">FALSE</definedName>
    <definedName hidden="1" name="HTML_OBDlg3">TRUE</definedName>
    <definedName hidden="1" name="HTML_OBDlg4">TRUE</definedName>
    <definedName hidden="1" name="HTML_OS">0</definedName>
    <definedName hidden="1" name="HTML_PathFile">"S:\SITE\Kot_vek.htm"</definedName>
    <definedName hidden="1" name="HTML_PathTemplate">"G:\TEMP\Котировки векселей.htm"</definedName>
    <definedName hidden="1" name="Input1">{#N/A,#N/A,FALSE,"Aging Summary";#N/A,#N/A,FALSE,"Ratio Analysis";#N/A,#N/A,FALSE,"Test 120 Day Accts";#N/A,#N/A,FALSE,"Tickmarks"}</definedName>
    <definedName hidden="1" name="IQ_ADDIN">"AUTO"</definedName>
    <definedName hidden="1" name="IQ_CH">110000</definedName>
    <definedName hidden="1" name="IQ_CQ">5000</definedName>
    <definedName hidden="1" name="IQ_CY">10000</definedName>
    <definedName hidden="1" name="IQ_DAILY">500000</definedName>
    <definedName hidden="1" name="IQ_DNTM">700000</definedName>
    <definedName hidden="1" name="IQ_FH">100000</definedName>
    <definedName hidden="1" name="IQ_FQ">500</definedName>
    <definedName hidden="1" name="IQ_FWD_CY">10001</definedName>
    <definedName hidden="1" name="IQ_FWD_CY1">10002</definedName>
    <definedName hidden="1" name="IQ_FWD_CY2">10003</definedName>
    <definedName hidden="1" name="IQ_FWD_FY">1001</definedName>
    <definedName hidden="1" name="IQ_FWD_FY1">1002</definedName>
    <definedName hidden="1" name="IQ_FWD_FY2">1003</definedName>
    <definedName hidden="1" name="IQ_FWD_Q">501</definedName>
    <definedName hidden="1" name="IQ_FWD_Q1">502</definedName>
    <definedName hidden="1" name="IQ_FWD_Q2">503</definedName>
    <definedName hidden="1" name="IQ_FY">1000</definedName>
    <definedName hidden="1" name="IQ_LATESTK">1000</definedName>
    <definedName hidden="1" name="IQ_LATESTQ">500</definedName>
    <definedName hidden="1" name="IQ_LTM">2000</definedName>
    <definedName hidden="1" name="IQ_LTMMONTH">120000</definedName>
    <definedName hidden="1" name="IQ_MONTH">15000</definedName>
    <definedName hidden="1" name="IQ_MTD">800000</definedName>
    <definedName hidden="1" name="IQ_NAMES_REVISION_DATE_">42236.6844444444</definedName>
    <definedName hidden="1" name="IQ_NTM">6000</definedName>
    <definedName hidden="1" name="IQ_OPENED55">1</definedName>
    <definedName hidden="1" name="IQ_QTD">750000</definedName>
    <definedName hidden="1" name="IQ_TODAY">0</definedName>
    <definedName hidden="1" name="IQ_WEEK">50000</definedName>
    <definedName hidden="1" name="IQ_YTD">3000</definedName>
    <definedName hidden="1" name="IQ_YTDMONTH">130000</definedName>
    <definedName hidden="1" name="IQRBA4">"$BA$5:$BA$9"</definedName>
    <definedName hidden="1" name="IQRBB4">"$BB$5:$BB$9"</definedName>
    <definedName hidden="1" localSheetId="3" name="jgjgjjg">Дог-[2]Име!$A$1</definedName>
    <definedName hidden="1" localSheetId="1" name="jgjgjjg">Дог-[2]Име!$A$1</definedName>
    <definedName hidden="1" name="jgjgjjg">Дог-[2]Име!$A$1</definedName>
    <definedName hidden="1" localSheetId="3" name="jgjhg">#REF!</definedName>
    <definedName hidden="1" localSheetId="1" name="jgjhg">#REF!</definedName>
    <definedName hidden="1" name="jgjhg">#REF!</definedName>
    <definedName hidden="1" localSheetId="3" name="jj">Svetla-[1]Principal!$A$1</definedName>
    <definedName hidden="1" localSheetId="1" name="jj">Svetla-[1]Principal!$A$1</definedName>
    <definedName hidden="1" name="jj">Svetla-[1]Principal!$A$1</definedName>
    <definedName hidden="1" localSheetId="3" name="jjhg">Дог-[2]Име!$A$1</definedName>
    <definedName hidden="1" localSheetId="1" name="jjhg">Дог-[2]Име!$A$1</definedName>
    <definedName hidden="1" name="jjhg">Дог-[2]Име!$A$1</definedName>
    <definedName hidden="1" name="jkjljljl">{#N/A,#N/A,FALSE,"FA_1";#N/A,#N/A,FALSE,"Dep'n SE";#N/A,#N/A,FALSE,"Dep'n FC"}</definedName>
    <definedName hidden="1" localSheetId="3" name="jljljl4">#REF!</definedName>
    <definedName hidden="1" localSheetId="1" name="jljljl4">#REF!</definedName>
    <definedName hidden="1" name="jljljl4">#REF!</definedName>
    <definedName hidden="1" localSheetId="3" name="ke">#REF!</definedName>
    <definedName hidden="1" localSheetId="1" name="ke">#REF!</definedName>
    <definedName hidden="1" name="ke">#REF!</definedName>
    <definedName hidden="1" localSheetId="3" name="kkk">Svetla-[1]Principal!$A$1</definedName>
    <definedName hidden="1" localSheetId="1" name="kkk">Svetla-[1]Principal!$A$1</definedName>
    <definedName hidden="1" name="kkk">Svetla-[1]Principal!$A$1</definedName>
    <definedName hidden="1" localSheetId="3" name="kl">{#N/A,#N/A,FALSE,"Lohnberechnung";#N/A,#N/A,FALSE,"Basisdaten"}</definedName>
    <definedName hidden="1" name="kl">{#N/A,#N/A,FALSE,"Lohnberechnung";#N/A,#N/A,FALSE,"Basisdaten"}</definedName>
    <definedName hidden="1" localSheetId="3" name="ko">Svetla-[1]Principal!$A$1</definedName>
    <definedName hidden="1" localSheetId="1" name="ko">Svetla-[1]Principal!$A$1</definedName>
    <definedName hidden="1" name="ko">Svetla-[1]Principal!$A$1</definedName>
    <definedName hidden="1" name="ktzuk">{#N/A,#N/A,FALSE,"Aging Summary";#N/A,#N/A,FALSE,"Ratio Analysis";#N/A,#N/A,FALSE,"Test 120 Day Accts";#N/A,#N/A,FALSE,"Tickmarks"}</definedName>
    <definedName hidden="1" localSheetId="3" name="l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name="l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name="limcount">1</definedName>
    <definedName hidden="1" localSheetId="3" name="ljhgf">Svetla-[1]Principal!$A$1</definedName>
    <definedName hidden="1" localSheetId="1" name="ljhgf">Svetla-[1]Principal!$A$1</definedName>
    <definedName hidden="1" name="ljhgf">Svetla-[1]Principal!$A$1</definedName>
    <definedName hidden="1" name="LJHGJFHJF1">{"Valuation_Common",#N/A,FALSE,"Valuation"}</definedName>
    <definedName hidden="1" name="LJHGLJFHJF">{"Valuation_Common",#N/A,FALSE,"Valuation"}</definedName>
    <definedName hidden="1" name="lkj">{#N/A,#N/A,FALSE,"Aging Summary";#N/A,#N/A,FALSE,"Ratio Analysis";#N/A,#N/A,FALSE,"Test 120 Day Accts";#N/A,#N/A,FALSE,"Tickmarks"}</definedName>
    <definedName hidden="1" localSheetId="3" name="m">#REF!</definedName>
    <definedName hidden="1" localSheetId="1" name="m">#REF!</definedName>
    <definedName hidden="1" name="m">#REF!</definedName>
    <definedName hidden="1" localSheetId="3" name="n">#REF!</definedName>
    <definedName hidden="1" localSheetId="1" name="n">#REF!</definedName>
    <definedName hidden="1" name="n">#REF!</definedName>
    <definedName hidden="1" name="name">{#N/A,#N/A,FALSE,"Aging Summary";#N/A,#N/A,FALSE,"Ratio Analysis";#N/A,#N/A,FALSE,"Test 120 Day Accts";#N/A,#N/A,FALSE,"Tickmarks"}</definedName>
    <definedName hidden="1" name="nfjbhfjjkf">"EBP"</definedName>
    <definedName hidden="1" name="PwC">{#N/A,#N/A,FALSE,"NBU rates 1999"}</definedName>
    <definedName hidden="1" localSheetId="3" name="q">{#N/A,#N/A,FALSE,"Lohnberechnung";#N/A,#N/A,FALSE,"Basisdaten"}</definedName>
    <definedName hidden="1" name="q">{#N/A,#N/A,FALSE,"Lohnberechnung";#N/A,#N/A,FALSE,"Basisdaten"}</definedName>
    <definedName hidden="1" name="QDATE_RDATE">[5]XLRpt_TempSheet!$B$13</definedName>
    <definedName hidden="1" name="qq">{"Valuation_Common",#N/A,FALSE,"Valuation"}</definedName>
    <definedName hidden="1" localSheetId="3" name="qrj">Svetla-[1]Principal!$A$1</definedName>
    <definedName hidden="1" localSheetId="1" name="qrj">Svetla-[1]Principal!$A$1</definedName>
    <definedName hidden="1" name="qrj">Svetla-[1]Principal!$A$1</definedName>
    <definedName hidden="1" name="qwea">[6]XLR_NoRangeSheet!$B$6</definedName>
    <definedName hidden="1" name="rhrhrh">{#N/A,#N/A,FALSE,"ОТЛАДКА"}</definedName>
    <definedName hidden="1" name="rrr">{#N/A,#N/A,FALSE,"NBU rates 1999"}</definedName>
    <definedName hidden="1" localSheetId="3" name="RSBU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name="RSBU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localSheetId="3" name="s">#REF!</definedName>
    <definedName hidden="1" localSheetId="1" name="s">#REF!</definedName>
    <definedName hidden="1" name="s">#REF!</definedName>
    <definedName hidden="1" localSheetId="3" name="sa">Svetla-[1]Principal!$A$1</definedName>
    <definedName hidden="1" localSheetId="1" name="sa">Svetla-[1]Principal!$A$1</definedName>
    <definedName hidden="1" name="sa">Svetla-[1]Principal!$A$1</definedName>
    <definedName hidden="1" name="SAPBEXhrIndnt">"Wide"</definedName>
    <definedName hidden="1" name="SAPBEXrevision">1</definedName>
    <definedName hidden="1" name="SAPBEXsysID">"EBP"</definedName>
    <definedName hidden="1" name="SAPBEXwbID">"3O14ODX58ZFWHBA9GZVFUX4YV"</definedName>
    <definedName hidden="1" name="SAPsysID">"708C5W7SBKP804JT78WJ0JNKI"</definedName>
    <definedName hidden="1" name="SAPwbID">"ARS"</definedName>
    <definedName hidden="1" localSheetId="3" name="sdgsg">Svetla-[1]Principal!$A$1</definedName>
    <definedName hidden="1" localSheetId="1" name="sdgsg">Svetla-[1]Principal!$A$1</definedName>
    <definedName hidden="1" name="sdgsg">Svetla-[1]Principal!$A$1</definedName>
    <definedName hidden="1" name="sdsd">{#N/A,#N/A,FALSE,"NBU rates 1999"}</definedName>
    <definedName hidden="1" localSheetId="3" name="sdsss">#REF!</definedName>
    <definedName hidden="1" localSheetId="1" name="sdsss">#REF!</definedName>
    <definedName hidden="1" name="sdsss">#REF!</definedName>
    <definedName hidden="1" name="sencount">1</definedName>
    <definedName hidden="1" localSheetId="3" name="sgg">Дог-[2]Име!$A$1</definedName>
    <definedName hidden="1" localSheetId="1" name="sgg">Дог-[2]Име!$A$1</definedName>
    <definedName hidden="1" name="sgg">Дог-[2]Име!$A$1</definedName>
    <definedName hidden="1" localSheetId="3" name="SIG_CONTROLE">#REF!</definedName>
    <definedName hidden="1" localSheetId="1" name="SIG_CONTROLE">#REF!</definedName>
    <definedName hidden="1" name="SIG_CONTROLE">#REF!</definedName>
    <definedName hidden="1" localSheetId="3" name="SIG_DERNIERECOLONNE">#REF!</definedName>
    <definedName hidden="1" localSheetId="1" name="SIG_DERNIERECOLONNE">#REF!</definedName>
    <definedName hidden="1" name="SIG_DERNIERECOLONNE">#REF!</definedName>
    <definedName hidden="1" name="SIG_NullVisible">[4]SIG_LANGUE!$G$2</definedName>
    <definedName hidden="1" localSheetId="3" name="SIG_PTBD_RKAKT">#REF!</definedName>
    <definedName hidden="1" localSheetId="1" name="SIG_PTBD_RKAKT">#REF!</definedName>
    <definedName hidden="1" name="SIG_PTBD_RKAKT">#REF!</definedName>
    <definedName hidden="1" localSheetId="3" name="SIG_PTBD_RKPASS">#REF!</definedName>
    <definedName hidden="1" localSheetId="1" name="SIG_PTBD_RKPASS">#REF!</definedName>
    <definedName hidden="1" name="SIG_PTBD_RKPASS">#REF!</definedName>
    <definedName hidden="1" localSheetId="3" name="SIG_PTHG_RKAKT">#REF!</definedName>
    <definedName hidden="1" localSheetId="1" name="SIG_PTHG_RKAKT">#REF!</definedName>
    <definedName hidden="1" name="SIG_PTHG_RKAKT">#REF!</definedName>
    <definedName hidden="1" localSheetId="3" name="SIG_PTHG_RKPASS">#REF!</definedName>
    <definedName hidden="1" localSheetId="1" name="SIG_PTHG_RKPASS">#REF!</definedName>
    <definedName hidden="1" name="SIG_PTHG_RKPASS">#REF!</definedName>
    <definedName hidden="1" localSheetId="3" name="SIG_RKAKT_firstLine">#REF!</definedName>
    <definedName hidden="1" localSheetId="1" name="SIG_RKAKT_firstLine">#REF!</definedName>
    <definedName hidden="1" name="SIG_RKAKT_firstLine">#REF!</definedName>
    <definedName hidden="1" localSheetId="3" name="SIG_RKAKT_IsControlOK">#REF!</definedName>
    <definedName hidden="1" localSheetId="1" name="SIG_RKAKT_IsControlOK">#REF!</definedName>
    <definedName hidden="1" name="SIG_RKAKT_IsControlOK">#REF!</definedName>
    <definedName hidden="1" localSheetId="3" name="SIG_RKAKT_lastLine">#REF!</definedName>
    <definedName hidden="1" localSheetId="1" name="SIG_RKAKT_lastLine">#REF!</definedName>
    <definedName hidden="1" name="SIG_RKAKT_lastLine">#REF!</definedName>
    <definedName hidden="1" localSheetId="3" name="SIG_RKAKT_TITLECOL">#REF!</definedName>
    <definedName hidden="1" localSheetId="1" name="SIG_RKAKT_TITLECOL">#REF!</definedName>
    <definedName hidden="1" name="SIG_RKAKT_TITLECOL">#REF!</definedName>
    <definedName hidden="1" localSheetId="3" name="SIG_RKAKT_TITLELINE">#REF!</definedName>
    <definedName hidden="1" localSheetId="1" name="SIG_RKAKT_TITLELINE">#REF!</definedName>
    <definedName hidden="1" name="SIG_RKAKT_TITLELINE">#REF!</definedName>
    <definedName hidden="1" localSheetId="3" name="SIG_RKPASS_firstLine">#REF!</definedName>
    <definedName hidden="1" localSheetId="1" name="SIG_RKPASS_firstLine">#REF!</definedName>
    <definedName hidden="1" name="SIG_RKPASS_firstLine">#REF!</definedName>
    <definedName hidden="1" localSheetId="3" name="SIG_RKPASS_IsControlOK">#REF!</definedName>
    <definedName hidden="1" localSheetId="1" name="SIG_RKPASS_IsControlOK">#REF!</definedName>
    <definedName hidden="1" name="SIG_RKPASS_IsControlOK">#REF!</definedName>
    <definedName hidden="1" localSheetId="3" name="SIG_RKPASS_lastLine">#REF!</definedName>
    <definedName hidden="1" localSheetId="1" name="SIG_RKPASS_lastLine">#REF!</definedName>
    <definedName hidden="1" name="SIG_RKPASS_lastLine">#REF!</definedName>
    <definedName hidden="1" localSheetId="3" name="SIG_RKPASS_TITLECOL">#REF!</definedName>
    <definedName hidden="1" localSheetId="1" name="SIG_RKPASS_TITLECOL">#REF!</definedName>
    <definedName hidden="1" name="SIG_RKPASS_TITLECOL">#REF!</definedName>
    <definedName hidden="1" localSheetId="3" name="SIG_RKPASS_TITLELINE">#REF!</definedName>
    <definedName hidden="1" localSheetId="1" name="SIG_RKPASS_TITLELINE">#REF!</definedName>
    <definedName hidden="1" name="SIG_RKPASS_TITLELINE">#REF!</definedName>
    <definedName hidden="1" localSheetId="3" name="smth15">#REF!</definedName>
    <definedName hidden="1" localSheetId="1" name="smth15">#REF!</definedName>
    <definedName hidden="1" name="smth15">#REF!</definedName>
    <definedName hidden="1" localSheetId="3" name="smth2">#REF!</definedName>
    <definedName hidden="1" localSheetId="1" name="smth2">#REF!</definedName>
    <definedName hidden="1" name="smth2">#REF!</definedName>
    <definedName hidden="1" localSheetId="3" name="smth3">#REF!</definedName>
    <definedName hidden="1" localSheetId="1" name="smth3">#REF!</definedName>
    <definedName hidden="1" name="smth3">#REF!</definedName>
    <definedName hidden="1" localSheetId="3" name="smth4">#REF!</definedName>
    <definedName hidden="1" localSheetId="1" name="smth4">#REF!</definedName>
    <definedName hidden="1" name="smth4">#REF!</definedName>
    <definedName hidden="1" localSheetId="3" name="smth5">#REF!</definedName>
    <definedName hidden="1" localSheetId="1" name="smth5">#REF!</definedName>
    <definedName hidden="1" name="smth5">#REF!</definedName>
    <definedName hidden="1" localSheetId="3" name="smth55">#REF!</definedName>
    <definedName hidden="1" localSheetId="1" name="smth55">#REF!</definedName>
    <definedName hidden="1" name="smth55">#REF!</definedName>
    <definedName hidden="1" localSheetId="3" name="smth8">#REF!</definedName>
    <definedName hidden="1" localSheetId="1" name="smth8">#REF!</definedName>
    <definedName hidden="1" name="smth8">#REF!</definedName>
    <definedName hidden="1" localSheetId="3" name="so">#REF!</definedName>
    <definedName hidden="1" localSheetId="1" name="so">#REF!</definedName>
    <definedName hidden="1" name="so">#REF!</definedName>
    <definedName hidden="1" localSheetId="3" name="something">#REF!</definedName>
    <definedName hidden="1" localSheetId="1" name="something">#REF!</definedName>
    <definedName hidden="1" name="something">#REF!</definedName>
    <definedName hidden="1" localSheetId="3" name="sraya">Svetla-[1]Principal!$A$1</definedName>
    <definedName hidden="1" localSheetId="1" name="sraya">Svetla-[1]Principal!$A$1</definedName>
    <definedName hidden="1" name="sraya">Svetla-[1]Principal!$A$1</definedName>
    <definedName hidden="1" localSheetId="3" name="sss">#REF!</definedName>
    <definedName hidden="1" localSheetId="1" name="sss">#REF!</definedName>
    <definedName hidden="1" name="sss">#REF!</definedName>
    <definedName hidden="1" localSheetId="3" name="ssss">Дог-[2]Име!$A$1</definedName>
    <definedName hidden="1" localSheetId="1" name="ssss">Дог-[2]Име!$A$1</definedName>
    <definedName hidden="1" name="ssss">Дог-[2]Име!$A$1</definedName>
    <definedName hidden="1" localSheetId="3" name="sssss">#REF!</definedName>
    <definedName hidden="1" localSheetId="1" name="sssss">#REF!</definedName>
    <definedName hidden="1" name="sssss">#REF!</definedName>
    <definedName hidden="1" name="summary2">{#N/A,#N/A,FALSE,"Aging Summary";#N/A,#N/A,FALSE,"Ratio Analysis";#N/A,#N/A,FALSE,"Test 120 Day Accts";#N/A,#N/A,FALSE,"Tickmarks"}</definedName>
    <definedName hidden="1" name="tanya">{#N/A,#N/A,FALSE,"Aging Summary";#N/A,#N/A,FALSE,"Ratio Analysis";#N/A,#N/A,FALSE,"Test 120 Day Accts";#N/A,#N/A,FALSE,"Tickmarks"}</definedName>
    <definedName hidden="1" name="tertw">{#N/A,#N/A,FALSE,"Aging Summary";#N/A,#N/A,FALSE,"Ratio Analysis";#N/A,#N/A,FALSE,"Test 120 Day Accts";#N/A,#N/A,FALSE,"Tickmarks"}</definedName>
    <definedName hidden="1" name="Text">19</definedName>
    <definedName hidden="1" name="TextRefCopyRangeCount">16</definedName>
    <definedName hidden="1" name="th">{#N/A,#N/A,FALSE,"Aging Summary";#N/A,#N/A,FALSE,"Ratio Analysis";#N/A,#N/A,FALSE,"Test 120 Day Accts";#N/A,#N/A,FALSE,"Tickmarks"}</definedName>
    <definedName hidden="1" name="tmp">{#N/A,#N/A,FALSE,"NBU rates 1999"}</definedName>
    <definedName hidden="1" localSheetId="3" name="tt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hidden="1" name="tt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hidden="1" name="ttt">{#N/A,#N/A,FALSE,"NBU rates 1999"}</definedName>
    <definedName hidden="1" name="tyjkhj">{#N/A,#N/A,FALSE,"Aging Summary";#N/A,#N/A,FALSE,"Ratio Analysis";#N/A,#N/A,FALSE,"Test 120 Day Accts";#N/A,#N/A,FALSE,"Tickmarks"}</definedName>
    <definedName hidden="1" localSheetId="3" name="tykjt">{#N/A,#N/A,FALSE,"Lohnberechnung";#N/A,#N/A,FALSE,"Basisdaten"}</definedName>
    <definedName hidden="1" name="tykjt">{#N/A,#N/A,FALSE,"Lohnberechnung";#N/A,#N/A,FALSE,"Basisdaten"}</definedName>
    <definedName hidden="1" localSheetId="3" name="uyrer">Svetla-[1]Principal!$A$1</definedName>
    <definedName hidden="1" localSheetId="1" name="uyrer">Svetla-[1]Principal!$A$1</definedName>
    <definedName hidden="1" name="uyrer">Svetla-[1]Principal!$A$1</definedName>
    <definedName hidden="1" localSheetId="3" name="vcvcv">Svetla-[1]Principal!$A$1</definedName>
    <definedName hidden="1" localSheetId="1" name="vcvcv">Svetla-[1]Principal!$A$1</definedName>
    <definedName hidden="1" name="vcvcv">Svetla-[1]Principal!$A$1</definedName>
    <definedName hidden="1" name="vxz">{#N/A,#N/A,FALSE,"NBU rates 1999"}</definedName>
    <definedName hidden="1" localSheetId="3" name="w">#REF!</definedName>
    <definedName hidden="1" localSheetId="1" name="w">#REF!</definedName>
    <definedName hidden="1" name="w">#REF!</definedName>
    <definedName hidden="1" name="wer">{#N/A,#N/A,FALSE,"NBU rates 1999"}</definedName>
    <definedName hidden="1" localSheetId="3" name="wqd">{#N/A,#N/A,FALSE,"Basisdaten Schadensätze";#N/A,#N/A,FALSE,"Schad.Satz";#N/A,#N/A,FALSE,"SchdSatzAufs.Behörde";#N/A,#N/A,FALSE,"Schd.SatzAufs.Beh.intausend"}</definedName>
    <definedName hidden="1" name="wqd">{#N/A,#N/A,FALSE,"Basisdaten Schadensätze";#N/A,#N/A,FALSE,"Schad.Satz";#N/A,#N/A,FALSE,"SchdSatzAufs.Behörde";#N/A,#N/A,FALSE,"Schd.SatzAufs.Beh.intausend"}</definedName>
    <definedName hidden="1" name="wrn.22.">{#N/A,#N/A,FALSE,"ОТЛАДКА"}</definedName>
    <definedName hidden="1" name="wrn.Aging._.and._.Trend._.Analysis.">{#N/A,#N/A,FALSE,"Aging Summary";#N/A,#N/A,FALSE,"Ratio Analysis";#N/A,#N/A,FALSE,"Test 120 Day Accts";#N/A,#N/A,FALSE,"Tickmarks"}</definedName>
    <definedName hidden="1" localSheetId="3" name="wrn.Ausgabebericht.">{#N/A,#N/A,FALSE,"Daten für Geschäftsverlauf";#N/A,#N/A,FALSE,"Nw 212-Nw 219 (alt)"}</definedName>
    <definedName hidden="1" name="wrn.Ausgabebericht.">{#N/A,#N/A,FALSE,"Daten für Geschäftsverlauf";#N/A,#N/A,FALSE,"Nw 212-Nw 219 (alt)"}</definedName>
    <definedName hidden="1" localSheetId="3" name="wrn.Auswertungen._.Jahresabschluß.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hidden="1" name="wrn.Auswertungen._.Jahresabschluß.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hidden="1" localSheetId="3" name="wrn.Beitragszerlegung.">{#N/A,#N/A,FALSE,"Zerl. Verd. Beiträge (gebucht)";#N/A,#N/A,FALSE,"Beitragszerlegung "}</definedName>
    <definedName hidden="1" name="wrn.Beitragszerlegung.">{#N/A,#N/A,FALSE,"Zerl. Verd. Beiträge (gebucht)";#N/A,#N/A,FALSE,"Beitragszerlegung "}</definedName>
    <definedName hidden="1" localSheetId="3" name="wrn.Bericht._.1995.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name="wrn.Bericht._.1995.">{#N/A,#N/A,FALSE,"BILANZ";#N/A,#N/A,FALSE,"Bil-Analyse";#N/A,#N/A,FALSE,"GuV";#N/A,#N/A,FALSE,"IMMAT-VG";#N/A,#N/A,FALSE,"GRUNDBAU";#N/A,#N/A,FALSE,"BET-VU";#N/A,#N/A,FALSE,"AKTIEN";#N/A,#N/A,FALSE,"SCHULDV";#N/A,#N/A,FALSE,"DARLEHEN";#N/A,#N/A,FALSE,"KA-Bank";#N/A,#N/A,FALSE,"And-KA";#N/A,#N/A,FALSE,"FORD";#N/A,#N/A,FALSE,"ANT-ZINS";#N/A,#N/A,FALSE,"SonstVG";#N/A,#N/A,FALSE,"EigKap";#N/A,#N/A,FALSE,"UNV-RL";#N/A,#N/A,FALSE,"Aufgl-vtRSt";#N/A,#N/A,FALSE,"PRÄMÜBER";#N/A,#N/A,FALSE,"DECK-RST";#N/A,#N/A,FALSE,"SCH-RST";#N/A,#N/A,FALSE,"PRÄ-RÜCK";#N/A,#N/A,FALSE,"Schwank";#N/A,#N/A,FALSE,"SovtRSt";#N/A,#N/A,FALSE,"NVTRÜCK";#N/A,#N/A,FALSE,"VERB";#N/A,#N/A,FALSE,"GV-UNF";#N/A,#N/A,FALSE,"GuV-S Analyse";#N/A,#N/A,FALSE,"GV-L";#N/A,#N/A,FALSE,"GuV-L Analyse";#N/A,#N/A,FALSE,"GV-Ges-Analyse";#N/A,#N/A,FALSE,"GV-NTR";#N/A,#N/A,FALSE,"Beilage V Prämien";#N/A,#N/A,FALSE,"Beilage VI Aufwendungen";#N/A,#N/A,FALSE,"Beilage VII Aufw";#N/A,#N/A,FALSE,"Beilage VIII SachAV"}</definedName>
    <definedName hidden="1" localSheetId="3" name="wrn.Bericht._.1996.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hidden="1" name="wrn.Bericht._.1996.">{#N/A,#N/A,FALSE,"BILANZ";#N/A,#N/A,FALSE,"Bil-Analyse";#N/A,#N/A,FALSE,"GuV";#N/A,#N/A,FALSE,"Beilage IIa";#N/A,#N/A,FALSE,"Aufgl-vtRSt";#N/A,#N/A,FALSE,"IMMAT-VG";#N/A,#N/A,FALSE,"GRUNDBAU";#N/A,#N/A,FALSE,"BET-VU";#N/A,#N/A,FALSE,"AKTIEN";#N/A,#N/A,FALSE,"SCHULDV";#N/A,#N/A,FALSE,"DARLEHEN";#N/A,#N/A,FALSE,"GUTH. KI";#N/A,#N/A,FALSE,"And-KA";#N/A,#N/A,FALSE,"FORD";#N/A,#N/A,FALSE,"ANT-ZINS";#N/A,#N/A,FALSE,"SonstVG";#N/A,#N/A,FALSE,"EigKap";#N/A,#N/A,FALSE,"UNV-RL";#N/A,#N/A,FALSE,"PRÄMÜBER";#N/A,#N/A,FALSE,"DECK-RST";#N/A,#N/A,FALSE,"SCH-RST";#N/A,#N/A,FALSE,"PräRück-erfUNabh";#N/A,#N/A,FALSE,"PräRück-erfABH";#N/A,#N/A,FALSE,"Schwank";#N/A,#N/A,FALSE,"SovtRSt";#N/A,#N/A,FALSE,"NVTRÜCK";#N/A,#N/A,FALSE,"VERB";#N/A,#N/A,FALSE,"GV-NTR";#N/A,#N/A,FALSE,"GV-UNF";#N/A,#N/A,FALSE,"GuV-S Analyse";#N/A,#N/A,FALSE,"GV-Leb";#N/A,#N/A,FALSE,"GuV-L Analyse";#N/A,#N/A,FALSE,"GV-Ges-Analyse";#N/A,#N/A,FALSE,"BeilageV";#N/A,#N/A,FALSE,"BeilageVI";#N/A,#N/A,FALSE,"Beilage VII Aufw";#N/A,#N/A,FALSE,"Beilage VIII SachAV"}</definedName>
    <definedName hidden="1" localSheetId="3" name="wrn.Bilanz._.AG._.96.">{#N/A,#N/A,FALSE,"Bilanz 31.12.1996 AG";#N/A,#N/A,FALSE,"SU-LV Solvabilität";#N/A,#N/A,FALSE,"Erfolgsrechnung 1996 der AG"}</definedName>
    <definedName hidden="1" name="wrn.Bilanz._.AG._.96.">{#N/A,#N/A,FALSE,"Bilanz 31.12.1996 AG";#N/A,#N/A,FALSE,"SU-LV Solvabilität";#N/A,#N/A,FALSE,"Erfolgsrechnung 1996 der AG"}</definedName>
    <definedName hidden="1" name="wrn.Coded._.IAS._.FS.">{"IASTrail",#N/A,FALSE,"IAS"}</definedName>
    <definedName hidden="1" localSheetId="3" name="wrn.Direkte._.Versicherungen.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hidden="1" name="wrn.Direkte._.Versicherungen.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hidden="1" localSheetId="3" name="wrn.Eingabebericht.">{#N/A,#N/A,FALSE,"Liste LV (Eingabe)";#N/A,#N/A,FALSE,"Liste Renten (Eingabe)";#N/A,#N/A,FALSE,"Sonstige Eingaben"}</definedName>
    <definedName hidden="1" name="wrn.Eingabebericht.">{#N/A,#N/A,FALSE,"Liste LV (Eingabe)";#N/A,#N/A,FALSE,"Liste Renten (Eingabe)";#N/A,#N/A,FALSE,"Sonstige Eingaben"}</definedName>
    <definedName hidden="1" localSheetId="3" name="wrn.Erfolgsprognose._.1994.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hidden="1" name="wrn.Erfolgsprognose._.1994.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hidden="1" localSheetId="3" name="wrn.Erfolgsprognose._.1995.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hidden="1" name="wrn.Erfolgsprognose._.1995.">{#N/A,#N/A,FALSE,"SU Erfolgsrechnung";#N/A,#N/A,FALSE,"SU Prämien Direktes Geschäft";#N/A,#N/A,FALSE,"SU Leistungen Direktes Geschäft";#N/A,#N/A,FALSE,"SU Schwankungsrückstellung";#N/A,#N/A,FALSE,"SU Finanzgebarung";#N/A,#N/A,FALSE,"LV Erfolgsrechnung";#N/A,#N/A,FALSE,"LV Finanzgebarung";#N/A,#N/A,FALSE,"SU - LV Kosten";#N/A,#N/A,FALSE,"Eingabe Rücklagen";#N/A,#N/A,FALSE,"SU Vergleich 95";#N/A,#N/A,FALSE,"LV Vergleich 95"}</definedName>
    <definedName hidden="1" name="wrn.ex.">{#N/A,#N/A,FALSE,"NBU rates 1999"}</definedName>
    <definedName hidden="1" name="wrn.Fixed._.Assets._.Note._.and._.Depreciation.">{#N/A,#N/A,FALSE,"FA_1";#N/A,#N/A,FALSE,"Dep'n SE";#N/A,#N/A,FALSE,"Dep'n FC"}</definedName>
    <definedName hidden="1" name="wrn.Full._.IAS._.STATEMENTS.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hidden="1" name="wrn.Full._.TRAIL.">{"IAS Mapping",#N/A,FALSE,"RSA_FS";#N/A,#N/A,FALSE,"CHECK!";#N/A,#N/A,FALSE,"Recon";#N/A,#N/A,FALSE,"NMG";#N/A,#N/A,FALSE,"Journals";"AnalRSA",#N/A,FALSE,"PL-Anal";"AnalIAS",#N/A,FALSE,"PL-Anal";#N/A,#N/A,FALSE,"COS"}</definedName>
    <definedName hidden="1" name="wrn.Help.">{#N/A,#N/A,TRUE,"MAP";#N/A,#N/A,TRUE,"STEPS";#N/A,#N/A,TRUE,"RULES"}</definedName>
    <definedName hidden="1" name="wrn.IAS._.BS._.PL._.CF._.and._.Notes.">{"IASBS",#N/A,TRUE,"IAS";"IASPL",#N/A,TRUE,"IAS";"IASNotes",#N/A,TRUE,"IAS";"CFDir - expanded",#N/A,TRUE,"CF DIR"}</definedName>
    <definedName hidden="1" name="wrn.IAS._.FS._.ZOOMED._.IN._.Forms.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hidden="1" name="wrn.IAS._.Mapping.">{"IAS Mapping",#N/A,TRUE,"RSA_FS"}</definedName>
    <definedName hidden="1" localSheetId="3" name="wrn.Indirektes._.Geschäft.">{#N/A,#N/A,FALSE,"Indirekt-Unfall";#N/A,#N/A,FALSE,"Indirekt-Haftpflicht";#N/A,#N/A,FALSE,"Indirekt-Feuer";#N/A,#N/A,FALSE,"Indirekt Maschinen"}</definedName>
    <definedName hidden="1" name="wrn.Indirektes._.Geschäft.">{#N/A,#N/A,FALSE,"Indirekt-Unfall";#N/A,#N/A,FALSE,"Indirekt-Haftpflicht";#N/A,#N/A,FALSE,"Indirekt-Feuer";#N/A,#N/A,FALSE,"Indirekt Maschinen"}</definedName>
    <definedName hidden="1" name="wrn.Inflation._.factors._.used.">{#N/A,#N/A,FALSE,"Infl_fact"}</definedName>
    <definedName hidden="1" name="wrn.KH.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bis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0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0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1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2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2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3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3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4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4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5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5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6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16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2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2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3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3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4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4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5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5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6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6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7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7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8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8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9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_9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b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b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b_1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b_new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mb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_2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_3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_4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_5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_6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_7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op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Corp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.Comb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.Comb_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.Comb_1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.Comb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.Corp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.new.Corp.bis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name="wrn.KH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hidden="1" localSheetId="3" name="wrn.Löhne.">{#N/A,#N/A,FALSE,"Lohnberechnung";#N/A,#N/A,FALSE,"Basisdaten"}</definedName>
    <definedName hidden="1" name="wrn.Löhne.">{#N/A,#N/A,FALSE,"Lohnberechnung";#N/A,#N/A,FALSE,"Basisdaten"}</definedName>
    <definedName hidden="1" name="wrn.PL._.Analysis.">{"AnalRSA",#N/A,TRUE,"PL-Anal";"AnalIAS",#N/A,TRUE,"PL-Anal"}</definedName>
    <definedName hidden="1" name="wrn.PL._.Report.">{"Page1",#N/A,TRUE,"P&amp;LREP";"PAge 2",#N/A,TRUE,"P&amp;LREP";"Page3",#N/A,TRUE,"P&amp;LREP";"Page4",#N/A,TRUE,"P&amp;LREP"}</definedName>
    <definedName hidden="1" name="wrn.RSA._.BS._.and._.PL.">{"BS1",#N/A,TRUE,"RSA_FS";"BS2",#N/A,TRUE,"RSA_FS";"BS3",#N/A,TRUE,"RSA_FS"}</definedName>
    <definedName hidden="1" localSheetId="3" name="wrn.Schd.Satz.">{#N/A,#N/A,FALSE,"Basisdaten Schadensätze";#N/A,#N/A,FALSE,"Schad.Satz";#N/A,#N/A,FALSE,"SchdSatzAufs.Behörde";#N/A,#N/A,FALSE,"Schd.SatzAufs.Beh.intausend"}</definedName>
    <definedName hidden="1" name="wrn.Schd.Satz.">{#N/A,#N/A,FALSE,"Basisdaten Schadensätze";#N/A,#N/A,FALSE,"Schad.Satz";#N/A,#N/A,FALSE,"SchdSatzAufs.Behörde";#N/A,#N/A,FALSE,"Schd.SatzAufs.Beh.intausend"}</definedName>
    <definedName hidden="1" name="wrn.test.">{"Valuation_Common",#N/A,FALSE,"Valuation"}</definedName>
    <definedName hidden="1" localSheetId="3" name="wrn.Verein96.">{#N/A,#N/A,FALSE,"Bilanz 31.12.1996 Verein";#N/A,#N/A,FALSE,"Erfolgsrechnung 1996 Verein"}</definedName>
    <definedName hidden="1" name="wrn.Verein96.">{#N/A,#N/A,FALSE,"Bilanz 31.12.1996 Verein";#N/A,#N/A,FALSE,"Erfolgsrechnung 1996 Verein"}</definedName>
    <definedName hidden="1" localSheetId="3" name="wrn.Zerlegung._.Schadenaufwand.">{#N/A,#N/A,FALSE,"Aufteilung der Vers.Leistung"}</definedName>
    <definedName hidden="1" name="wrn.Zerlegung._.Schadenaufwand.">{#N/A,#N/A,FALSE,"Aufteilung der Vers.Leistung"}</definedName>
    <definedName hidden="1" name="wrn.Баланс.">{#N/A,#N/A,FALSE,"БАЛАНС"}</definedName>
    <definedName hidden="1" name="wrn.БЕЛЕБЕЕВСКИЙ._.МОЛОЧНЫЙ._.КОМБИНАТ.">{#N/A,#N/A,TRUE,"Лист1"}</definedName>
    <definedName hidden="1" name="ws">{#N/A,#N/A,FALSE,"Aging Summary";#N/A,#N/A,FALSE,"Ratio Analysis";#N/A,#N/A,FALSE,"Test 120 Day Accts";#N/A,#N/A,FALSE,"Tickmarks"}</definedName>
    <definedName hidden="1" name="wtre">{#N/A,#N/A,FALSE,"Aging Summary";#N/A,#N/A,FALSE,"Ratio Analysis";#N/A,#N/A,FALSE,"Test 120 Day Accts";#N/A,#N/A,FALSE,"Tickmarks"}</definedName>
    <definedName hidden="1" localSheetId="3" name="wwdf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hidden="1" name="wwdf">{#N/A,#N/A,FALSE,"SU Erfolgszergliederung";#N/A,#N/A,FALSE,"SU Erfolg im Eigenbehalt";#N/A,#N/A,FALSE,"SU Finanzerfolg";#N/A,#N/A,FALSE,"SU Prognose-Istvergleich";#N/A,#N/A,FALSE,"LV Erfolgszergliederung";#N/A,#N/A,FALSE,"LV Erfolg im Eigenbehalt";#N/A,#N/A,FALSE,"LV Finanzerfolg";#N/A,#N/A,FALSE,"LV Prognose-Istvergleich";#N/A,#N/A,FALSE,"SU-LV Rücklage § 73 a VAG";#N/A,#N/A,FALSE,"SU-LV Körperschaftssteuer";#N/A,#N/A,FALSE,"SU-LV Solvabilität"}</definedName>
    <definedName hidden="1" localSheetId="3" name="x">#REF!</definedName>
    <definedName hidden="1" localSheetId="1" name="x">#REF!</definedName>
    <definedName hidden="1" name="x">#REF!</definedName>
    <definedName hidden="1" localSheetId="3" name="xcxc">Дог-[2]Име!$A$1</definedName>
    <definedName hidden="1" localSheetId="1" name="xcxc">Дог-[2]Име!$A$1</definedName>
    <definedName hidden="1" name="xcxc">Дог-[2]Име!$A$1</definedName>
    <definedName hidden="1" name="XLRPARAMS_CORPeriod">[7]XLR_NoRangeSheet!$B$6</definedName>
    <definedName hidden="1" localSheetId="3" name="XLRPARAMS_CreateDate">[8]XLR_NoRangeSheet!$B$6</definedName>
    <definedName hidden="1" name="XLRPARAMS_CreateDate">[9]XLR_NoRangeSheet!$B$6</definedName>
    <definedName hidden="1" name="XLRPARAMS_CurDate">[10]XLR_NoRangeSheet!$B$6</definedName>
    <definedName hidden="1" name="XLRPARAMS_Diapason">[10]XLR_NoRangeSheet!$C$6</definedName>
    <definedName hidden="1" localSheetId="3" name="XLRPARAMS_Fund">[11]XLR_NoRangeSheet!$D$6</definedName>
    <definedName hidden="1" name="XLRPARAMS_Fund">[12]XLR_NoRangeSheet!$D$6</definedName>
    <definedName hidden="1" localSheetId="3" name="XLRPARAMS_Interval">[13]XLR_NoRangeSheet!#REF!</definedName>
    <definedName hidden="1" localSheetId="1" name="XLRPARAMS_Interval">[13]XLR_NoRangeSheet!#REF!</definedName>
    <definedName hidden="1" name="XLRPARAMS_Interval">[13]XLR_NoRangeSheet!#REF!</definedName>
    <definedName hidden="1" name="XLRPARAMS_Param1">[14]XLR_NoRangeSheet!$J$6</definedName>
    <definedName hidden="1" name="XLRPARAMS_Param2">[15]XLR_NoRangeSheet!$I$6</definedName>
    <definedName hidden="1" name="XLRPARAMS_Partner">[11]XLR_NoRangeSheet!$E$6</definedName>
    <definedName hidden="1" localSheetId="3" name="XLRPARAMS_Period">[11]XLR_NoRangeSheet!$B$6</definedName>
    <definedName hidden="1" name="XLRPARAMS_Period">[12]XLR_NoRangeSheet!$B$6</definedName>
    <definedName hidden="1" name="XLRPARAMS_Period2">[7]XLR_NoRangeSheet!$C$6</definedName>
    <definedName hidden="1" localSheetId="3" name="XLRPARAMS_Perioddate">[16]XLR_NoRangeSheet!$B$6</definedName>
    <definedName hidden="1" name="XLRPARAMS_Perioddate">[17]XLR_NoRangeSheet!$B$6</definedName>
    <definedName hidden="1" name="XLRPARAMS_Perioddate2">[18]XLR_NoRangeSheet!$C$6</definedName>
    <definedName hidden="1" localSheetId="3" name="XLRPARAMS_Products">[11]XLR_NoRangeSheet!$C$6</definedName>
    <definedName hidden="1" name="XLRPARAMS_Products">[12]XLR_NoRangeSheet!$C$6</definedName>
    <definedName hidden="1" localSheetId="3" name="XLRPARAMS_ProductsName">[8]XLR_NoRangeSheet!$C$6</definedName>
    <definedName hidden="1" name="XLRPARAMS_ProductsName">[9]XLR_NoRangeSheet!$C$6</definedName>
    <definedName hidden="1" localSheetId="3" name="XREF_COLUMN_1">[19]трансформация1!#REF!</definedName>
    <definedName hidden="1" localSheetId="1" name="XREF_COLUMN_1">[19]трансформация1!#REF!</definedName>
    <definedName hidden="1" name="XREF_COLUMN_1">[19]трансформация1!#REF!</definedName>
    <definedName hidden="1" localSheetId="3" name="XREF_COLUMN_2">[20]Threshold!#REF!</definedName>
    <definedName hidden="1" localSheetId="1" name="XREF_COLUMN_2">[20]Threshold!#REF!</definedName>
    <definedName hidden="1" name="XREF_COLUMN_2">[20]Threshold!#REF!</definedName>
    <definedName hidden="1" localSheetId="3" name="XREF_COLUMN_3">[20]Threshold!#REF!</definedName>
    <definedName hidden="1" localSheetId="1" name="XREF_COLUMN_3">[20]Threshold!#REF!</definedName>
    <definedName hidden="1" name="XREF_COLUMN_3">[20]Threshold!#REF!</definedName>
    <definedName hidden="1" localSheetId="3" name="XRefActiveRow">#REF!</definedName>
    <definedName hidden="1" localSheetId="1" name="XRefActiveRow">#REF!</definedName>
    <definedName hidden="1" name="XRefActiveRow">#REF!</definedName>
    <definedName hidden="1" name="XRefColumnsCount">1</definedName>
    <definedName hidden="1" localSheetId="3" name="XRefCopy1">[19]трансформация1!#REF!</definedName>
    <definedName hidden="1" localSheetId="1" name="XRefCopy1">[19]трансформация1!#REF!</definedName>
    <definedName hidden="1" name="XRefCopy1">[19]трансформация1!#REF!</definedName>
    <definedName hidden="1" localSheetId="3" name="XRefCopy1Row">#REF!</definedName>
    <definedName hidden="1" localSheetId="1" name="XRefCopy1Row">#REF!</definedName>
    <definedName hidden="1" name="XRefCopy1Row">#REF!</definedName>
    <definedName hidden="1" localSheetId="3" name="XRefCopy2">[19]трансформация1!#REF!</definedName>
    <definedName hidden="1" localSheetId="1" name="XRefCopy2">[19]трансформация1!#REF!</definedName>
    <definedName hidden="1" name="XRefCopy2">[19]трансформация1!#REF!</definedName>
    <definedName hidden="1" localSheetId="3" name="XRefCopy2Row">#REF!</definedName>
    <definedName hidden="1" localSheetId="1" name="XRefCopy2Row">#REF!</definedName>
    <definedName hidden="1" name="XRefCopy2Row">#REF!</definedName>
    <definedName hidden="1" localSheetId="3" name="XRefCopy3">[19]трансформация1!#REF!</definedName>
    <definedName hidden="1" localSheetId="1" name="XRefCopy3">[19]трансформация1!#REF!</definedName>
    <definedName hidden="1" name="XRefCopy3">[19]трансформация1!#REF!</definedName>
    <definedName hidden="1" localSheetId="3" name="XRefCopy3Row">[21]XREF!#REF!</definedName>
    <definedName hidden="1" localSheetId="1" name="XRefCopy3Row">[21]XREF!#REF!</definedName>
    <definedName hidden="1" name="XRefCopy3Row">[21]XREF!#REF!</definedName>
    <definedName hidden="1" localSheetId="3" name="XRefCopy5Row">#REF!</definedName>
    <definedName hidden="1" localSheetId="1" name="XRefCopy5Row">#REF!</definedName>
    <definedName hidden="1" name="XRefCopy5Row">#REF!</definedName>
    <definedName hidden="1" name="XRefCopyRangeCount">5</definedName>
    <definedName hidden="1" localSheetId="3" name="XRefPaste1">[20]Threshold!#REF!</definedName>
    <definedName hidden="1" localSheetId="1" name="XRefPaste1">[20]Threshold!#REF!</definedName>
    <definedName hidden="1" name="XRefPaste1">[20]Threshold!#REF!</definedName>
    <definedName hidden="1" localSheetId="3" name="XRefPaste1Row">#REF!</definedName>
    <definedName hidden="1" localSheetId="1" name="XRefPaste1Row">#REF!</definedName>
    <definedName hidden="1" name="XRefPaste1Row">#REF!</definedName>
    <definedName hidden="1" localSheetId="3" name="XRefPaste2">[20]Threshold!#REF!</definedName>
    <definedName hidden="1" localSheetId="1" name="XRefPaste2">[20]Threshold!#REF!</definedName>
    <definedName hidden="1" name="XRefPaste2">[20]Threshold!#REF!</definedName>
    <definedName hidden="1" localSheetId="3" name="XRefPaste2Row">#REF!</definedName>
    <definedName hidden="1" localSheetId="1" name="XRefPaste2Row">#REF!</definedName>
    <definedName hidden="1" name="XRefPaste2Row">#REF!</definedName>
    <definedName hidden="1" localSheetId="3" name="XRefPaste3">[19]трансформация1!#REF!</definedName>
    <definedName hidden="1" localSheetId="1" name="XRefPaste3">[19]трансформация1!#REF!</definedName>
    <definedName hidden="1" name="XRefPaste3">[19]трансформация1!#REF!</definedName>
    <definedName hidden="1" localSheetId="3" name="XRefPaste3Row">[21]XREF!#REF!</definedName>
    <definedName hidden="1" localSheetId="1" name="XRefPaste3Row">[21]XREF!#REF!</definedName>
    <definedName hidden="1" name="XRefPaste3Row">[21]XREF!#REF!</definedName>
    <definedName hidden="1" localSheetId="3" name="XRefPaste4">[19]трансформация1!#REF!</definedName>
    <definedName hidden="1" localSheetId="1" name="XRefPaste4">[19]трансформация1!#REF!</definedName>
    <definedName hidden="1" name="XRefPaste4">[19]трансформация1!#REF!</definedName>
    <definedName hidden="1" localSheetId="3" name="XRefPaste4Row">#REF!</definedName>
    <definedName hidden="1" localSheetId="1" name="XRefPaste4Row">#REF!</definedName>
    <definedName hidden="1" name="XRefPaste4Row">#REF!</definedName>
    <definedName hidden="1" localSheetId="3" name="XRefPaste5Row">#REF!</definedName>
    <definedName hidden="1" localSheetId="1" name="XRefPaste5Row">#REF!</definedName>
    <definedName hidden="1" name="XRefPaste5Row">#REF!</definedName>
    <definedName hidden="1" name="XRefPasteRangeCount">1</definedName>
    <definedName hidden="1" localSheetId="3" name="xx">Svetla-[1]Principal!$A$1</definedName>
    <definedName hidden="1" localSheetId="1" name="xx">Svetla-[1]Principal!$A$1</definedName>
    <definedName hidden="1" name="xx">Svetla-[1]Principal!$A$1</definedName>
    <definedName hidden="1" name="xxx">{#N/A,#N/A,FALSE,"ОТЛАДКА"}</definedName>
    <definedName hidden="1" localSheetId="3" name="xxxx">Svetla-[1]Principal!$A$1</definedName>
    <definedName hidden="1" localSheetId="1" name="xxxx">Svetla-[1]Principal!$A$1</definedName>
    <definedName hidden="1" name="xxxx">Svetla-[1]Principal!$A$1</definedName>
    <definedName hidden="1" localSheetId="3" name="z">{#N/A,#N/A,FALSE,"Bilanz 31.12.1996 Verein";#N/A,#N/A,FALSE,"Erfolgsrechnung 1996 Verein"}</definedName>
    <definedName hidden="1" name="z">{#N/A,#N/A,FALSE,"Bilanz 31.12.1996 Verein";#N/A,#N/A,FALSE,"Erfolgsrechnung 1996 Verein"}</definedName>
    <definedName hidden="1" localSheetId="3" name="Z_30FEE15E_D26F_11D4_A6F7_00508B6A7686_.wvu.FilterData">#REF!</definedName>
    <definedName hidden="1" localSheetId="1" name="Z_30FEE15E_D26F_11D4_A6F7_00508B6A7686_.wvu.FilterData">#REF!</definedName>
    <definedName hidden="1" name="Z_30FEE15E_D26F_11D4_A6F7_00508B6A7686_.wvu.FilterData">#REF!</definedName>
    <definedName hidden="1" localSheetId="3" name="Z_30FEE15E_D26F_11D4_A6F7_00508B6A7686_.wvu.PrintArea">#REF!</definedName>
    <definedName hidden="1" localSheetId="1" name="Z_30FEE15E_D26F_11D4_A6F7_00508B6A7686_.wvu.PrintArea">#REF!</definedName>
    <definedName hidden="1" name="Z_30FEE15E_D26F_11D4_A6F7_00508B6A7686_.wvu.PrintArea">#REF!</definedName>
    <definedName hidden="1" localSheetId="3" name="Z_30FEE15E_D26F_11D4_A6F7_00508B6A7686_.wvu.PrintTitles">#REF!</definedName>
    <definedName hidden="1" localSheetId="1" name="Z_30FEE15E_D26F_11D4_A6F7_00508B6A7686_.wvu.PrintTitles">#REF!</definedName>
    <definedName hidden="1" name="Z_30FEE15E_D26F_11D4_A6F7_00508B6A7686_.wvu.PrintTitles">#REF!</definedName>
    <definedName hidden="1" localSheetId="3" name="Z_30FEE15E_D26F_11D4_A6F7_00508B6A7686_.wvu.Rows">#REF!</definedName>
    <definedName hidden="1" localSheetId="1" name="Z_30FEE15E_D26F_11D4_A6F7_00508B6A7686_.wvu.Rows">#REF!</definedName>
    <definedName hidden="1" name="Z_30FEE15E_D26F_11D4_A6F7_00508B6A7686_.wvu.Rows">#REF!</definedName>
    <definedName hidden="1" localSheetId="3" name="Z_85B0ED75_B773_44FF_B36D_C46A7C8175E9_.wvu.PrintArea">#REF!</definedName>
    <definedName hidden="1" localSheetId="1" name="Z_85B0ED75_B773_44FF_B36D_C46A7C8175E9_.wvu.PrintArea">#REF!</definedName>
    <definedName hidden="1" name="Z_85B0ED75_B773_44FF_B36D_C46A7C8175E9_.wvu.PrintArea">#REF!</definedName>
    <definedName hidden="1" localSheetId="3" name="Z_85B0ED75_B773_44FF_B36D_C46A7C8175E9_.wvu.PrintTitles">#REF!</definedName>
    <definedName hidden="1" localSheetId="1" name="Z_85B0ED75_B773_44FF_B36D_C46A7C8175E9_.wvu.PrintTitles">#REF!</definedName>
    <definedName hidden="1" name="Z_85B0ED75_B773_44FF_B36D_C46A7C8175E9_.wvu.PrintTitles">#REF!</definedName>
    <definedName hidden="1" localSheetId="3" name="Z_9673D06C_8E2D_4E41_BE89_13756C9C3BAE_.wvu.PrintArea">#REF!</definedName>
    <definedName hidden="1" localSheetId="1" name="Z_9673D06C_8E2D_4E41_BE89_13756C9C3BAE_.wvu.PrintArea">#REF!</definedName>
    <definedName hidden="1" name="Z_9673D06C_8E2D_4E41_BE89_13756C9C3BAE_.wvu.PrintArea">#REF!</definedName>
    <definedName hidden="1" name="zzzz">{#N/A,#N/A,FALSE,"NBU rates 1999"}</definedName>
    <definedName name="Агенты">Каналы!$K$4:$K$5</definedName>
    <definedName hidden="1" name="аекодфоа">{"IASBS",#N/A,TRUE,"IAS";"IASPL",#N/A,TRUE,"IAS";"IASNotes",#N/A,TRUE,"IAS";"CFDir - expanded",#N/A,TRUE,"CF DIR"}</definedName>
    <definedName hidden="1" localSheetId="3" name="аоап">#REF!</definedName>
    <definedName hidden="1" localSheetId="1" name="аоап">#REF!</definedName>
    <definedName hidden="1" name="аоап">#REF!</definedName>
    <definedName hidden="1" localSheetId="3" name="апроо">#REF!</definedName>
    <definedName hidden="1" localSheetId="1" name="апроо">#REF!</definedName>
    <definedName hidden="1" name="апроо">#REF!</definedName>
    <definedName hidden="1" name="БУ_ТИП">[22]WP!$I$12:$I$18</definedName>
    <definedName hidden="1" localSheetId="3" name="вапрольдлжб">#REF!</definedName>
    <definedName hidden="1" localSheetId="1" name="вапрольдлжб">#REF!</definedName>
    <definedName hidden="1" name="вапрольдлжб">#REF!</definedName>
    <definedName hidden="1" localSheetId="3" name="вар">#REF!</definedName>
    <definedName hidden="1" localSheetId="1" name="вар">#REF!</definedName>
    <definedName hidden="1" name="вар">#REF!</definedName>
    <definedName hidden="1" localSheetId="3" name="вваыв">#REF!</definedName>
    <definedName hidden="1" localSheetId="1" name="вваыв">#REF!</definedName>
    <definedName hidden="1" name="вваыв">#REF!</definedName>
    <definedName hidden="1" name="вла">{#N/A,#N/A,FALSE,"Aging Summary";#N/A,#N/A,FALSE,"Ratio Analysis";#N/A,#N/A,FALSE,"Test 120 Day Accts";#N/A,#N/A,FALSE,"Tickmarks"}</definedName>
    <definedName hidden="1" name="ву">{#N/A,#N/A,FALSE,"Aging Summary";#N/A,#N/A,FALSE,"Ratio Analysis";#N/A,#N/A,FALSE,"Test 120 Day Accts";#N/A,#N/A,FALSE,"Tickmarks"}</definedName>
    <definedName name="ГК">ЛБ!$I$22</definedName>
    <definedName name="Групп.пенсия">ЛБ!$M$22</definedName>
    <definedName name="ДМС">ЛБ!$R$22</definedName>
    <definedName name="ДМС_СИВ">ЛБ!$S$22</definedName>
    <definedName hidden="1" name="е">{#N/A,#N/A,FALSE,"Aging Summary";#N/A,#N/A,FALSE,"Ratio Analysis";#N/A,#N/A,FALSE,"Test 120 Day Accts";#N/A,#N/A,FALSE,"Tickmarks"}</definedName>
    <definedName hidden="1" localSheetId="3" name="иит">#REF!</definedName>
    <definedName hidden="1" localSheetId="1" name="иит">#REF!</definedName>
    <definedName hidden="1" name="иит">#REF!</definedName>
    <definedName name="Индив.пенсия">ЛБ!$N$22</definedName>
    <definedName name="ИСЖ_СИВ">ЛБ!$Q$22</definedName>
    <definedName name="ИСЖ_Уралсиб">ЛБ!$AB$22</definedName>
    <definedName name="КорпЖ">ЛБ!$T$22</definedName>
    <definedName name="КорпНС">ЛБ!$U$22</definedName>
    <definedName name="Корпораты">Каналы!$L$4</definedName>
    <definedName hidden="1" name="КП">[23]TECH!$D$4:$D$10</definedName>
    <definedName name="КСЖ">ЛБ!$V$22</definedName>
    <definedName name="КСЖ_СИВ">ЛБ!$W$22</definedName>
    <definedName name="КСЖ_Уралсиб">ЛБ!$AD$22:$AD$23</definedName>
    <definedName hidden="1" localSheetId="3" name="лл">#REF!</definedName>
    <definedName hidden="1" localSheetId="1" name="лл">#REF!</definedName>
    <definedName hidden="1" name="лл">#REF!</definedName>
    <definedName name="Мульти">Каналы!$M$4</definedName>
    <definedName hidden="1" name="ннннннннн">{0,0,0,0;0,0,0,0;0,#VALUE!,FALSE,0;#N/A,#N/A,FALSE,0}</definedName>
    <definedName name="НовыеТП">Табл.НовыеТП[]</definedName>
    <definedName name="Новый">ЛБ!$J$4:$J$7</definedName>
    <definedName name="НП">ЛБ!$J$22</definedName>
    <definedName name="НС">ЛБ!$X$22:$X$23</definedName>
    <definedName name="НС_СИВ">ЛБ!$Y$22</definedName>
    <definedName name="НСЖ">ЛБ!$O$22:$O$28</definedName>
    <definedName name="НСЖ_КБ">ЛБ!$L$22</definedName>
    <definedName name="НСЖ_новый">ЛБ!$K$22</definedName>
    <definedName name="НСЖ_СИВ">ЛБ!$P$22:$P$28</definedName>
    <definedName name="НСЖ_СИВ_ДМС">ЛБ!$Z$22:$Z$28</definedName>
    <definedName name="НСЖ_СИВ_НС">ЛБ!$AA$22:$AA$28</definedName>
    <definedName name="НСЖ_Уралсиб">ЛБ!$AC$22:$AC$24</definedName>
    <definedName hidden="1" name="оадо">{"IAS Mapping",#N/A,FALSE,"RSA_FS";#N/A,#N/A,FALSE,"CHECK!";#N/A,#N/A,FALSE,"Recon";#N/A,#N/A,FALSE,"NMG";#N/A,#N/A,FALSE,"Journals";"AnalRSA",#N/A,FALSE,"PL-Anal";"AnalIAS",#N/A,FALSE,"PL-Anal";#N/A,#N/A,FALSE,"COS"}</definedName>
    <definedName hidden="1" localSheetId="3" name="Оборотка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hidden="1" name="Оборотка">{#N/A,#N/A,FALSE,"SU Erfolgsrechnung";#N/A,#N/A,FALSE,"SU Prämien Direktes Geschäft";#N/A,#N/A,FALSE,"SU Leistungen Direktes Geschäft";#N/A,#N/A,FALSE,"SU Finanzgebarung";#N/A,#N/A,FALSE,"LV Erfolgsrechnung - 27.000";#N/A,#N/A,FALSE,"LV Finanzgebarung";#N/A,#N/A,FALSE,"SU - LV Kosten";#N/A,#N/A,FALSE,"SU - LV Finanzerfolg Gesamt";#N/A,#N/A,FALSE,"Eingabe Rücklagen"}</definedName>
    <definedName name="Портфель">ЛБ!$H$4:$H$6</definedName>
    <definedName hidden="1" localSheetId="3" name="пп">Svetla-[1]Principal!$A$1</definedName>
    <definedName hidden="1" localSheetId="1" name="пп">Svetla-[1]Principal!$A$1</definedName>
    <definedName hidden="1" name="пп">Svetla-[1]Principal!$A$1</definedName>
    <definedName hidden="1" name="ПРОДАВЕЦ">[22]вспм!$A$3:$A$4</definedName>
    <definedName name="Прочее_Уралсиб">ЛБ!$AE$22</definedName>
    <definedName name="Регион">Регионы!$B$2:$B$91</definedName>
    <definedName name="Розница">Каналы!$I$4:$I$7</definedName>
    <definedName name="СКБСЖ">ЛБ!$K$4:$K$18</definedName>
    <definedName hidden="1" name="ТИП_БИ">[22]WP!$J$12:$J$13</definedName>
    <definedName hidden="1" name="ТИП_БИ1">[24]WP!$J$12:$J$13</definedName>
    <definedName hidden="1" name="ТИП_БИЗНЕС">[22]WP!$J$12:$J$13</definedName>
    <definedName hidden="1" name="ТИП_СТРАХ">[22]WP!$F$12:$F$13</definedName>
    <definedName hidden="1" name="ТИПс">[22]WP!$I$12:$I$18</definedName>
    <definedName hidden="1" name="ТИПс1">[24]WP!$I$12:$I$18</definedName>
    <definedName hidden="1" localSheetId="3" name="тщшо">#REF!</definedName>
    <definedName hidden="1" localSheetId="1" name="тщшо">#REF!</definedName>
    <definedName hidden="1" name="тщшо">#REF!</definedName>
    <definedName hidden="1" localSheetId="3" name="ув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hidden="1" name="ув">{#N/A,#N/A,TRUE,"Unfallversicherung";#N/A,#N/A,TRUE,"Haftpflicht";#N/A,#N/A,TRUE,"Kfz-Haftpflicht";#N/A,#N/A,TRUE,"Kfz-Fahrzeug";#N/A,#N/A,TRUE,"Kfz-Insassenunfall";#N/A,#N/A,TRUE,"Flughaftpflicht";#N/A,#N/A,TRUE,"Flug-Kasko";#N/A,#N/A,TRUE,"Flug-Insassen";#N/A,#N/A,TRUE,"Rechtsschutz";#N/A,#N/A,TRUE,"Feuer-Industrie";#N/A,#N/A,TRUE,"Feuer-Betriebsunterbrechung";#N/A,#N/A,TRUE,"Sonstige Feuer";#N/A,#N/A,TRUE,"Einbruchdiebstahl";#N/A,#N/A,TRUE,"Leitungswasser";#N/A,#N/A,TRUE,"Glasbruch";#N/A,#N/A,TRUE,"Sturmschaden";#N/A,#N/A,TRUE,"Haushalt";#N/A,#N/A,TRUE,"Tierversicherung";#N/A,#N/A,TRUE,"Maschinen-BU";#N/A,#N/A,TRUE,"Sonstige Maschinen";#N/A,#N/A,TRUE,"Computer";#N/A,#N/A,TRUE,"Reisegepäck";#N/A,#N/A,TRUE,"Sonstige Transport";#N/A,#N/A,TRUE,"Bauwesen";#N/A,#N/A,TRUE,"BU-Freiberufe"}</definedName>
    <definedName name="Уралсиб">ЛБ!$L$4:$L$7</definedName>
    <definedName name="Уралсиб_">Каналы!$J$4</definedName>
    <definedName hidden="1" name="ф">{#N/A,#N/A,FALSE,"Aging Summary";#N/A,#N/A,FALSE,"Ratio Analysis";#N/A,#N/A,FALSE,"Test 120 Day Accts";#N/A,#N/A,FALSE,"Tickmarks"}</definedName>
    <definedName hidden="1" name="ц">{#N/A,#N/A,FALSE,"Aging Summary";#N/A,#N/A,FALSE,"Ratio Analysis";#N/A,#N/A,FALSE,"Test 120 Day Accts";#N/A,#N/A,FALSE,"Tickmarks"}</definedName>
    <definedName hidden="1" name="ца">{#N/A,#N/A,FALSE,"Aging Summary";#N/A,#N/A,FALSE,"Ratio Analysis";#N/A,#N/A,FALSE,"Test 120 Day Accts";#N/A,#N/A,FALSE,"Tickmarks"}</definedName>
    <definedName hidden="1" localSheetId="3" name="ЫВВЫВЫВ">#REF!</definedName>
    <definedName hidden="1" localSheetId="1" name="ЫВВЫВЫВ">#REF!</definedName>
    <definedName hidden="1" name="ЫВВЫВЫВ">#REF!</definedName>
    <definedName hidden="1" name="Ыгь">{#N/A,#N/A,FALSE,"Aging Summary";#N/A,#N/A,FALSE,"Ratio Analysis";#N/A,#N/A,FALSE,"Test 120 Day Accts";#N/A,#N/A,FALSE,"Tickmarks"}</definedName>
    <definedName hidden="1" localSheetId="3" name="ד">Дог-[2]Име!$A$1</definedName>
    <definedName hidden="1" localSheetId="1" name="ד">Дог-[2]Име!$A$1</definedName>
    <definedName hidden="1" name="ד">Дог-[2]Име!$A$1</definedName>
    <definedName hidden="1" localSheetId="3" name="ככ">Svetla-[1]Principal!$A$1</definedName>
    <definedName hidden="1" localSheetId="1" name="ככ">Svetla-[1]Principal!$A$1</definedName>
    <definedName hidden="1" name="ככ">Svetla-[1]Principal!$A$1</definedName>
  </definedNames>
  <calcPr calcId="191029"/>
  <pivotCaches>
    <pivotCache cacheId="0" r:id="rId32"/>
    <pivotCache cacheId="1" r:id="rId33"/>
  </pivotCaches>
  <fileRecoveryPr repairLoad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7" i="16" l="1"/>
  <c r="AD87" i="16"/>
  <c r="AE87" i="16"/>
  <c r="AF87" i="16"/>
  <c r="AG87" i="16"/>
  <c r="AH87" i="16"/>
  <c r="AI87" i="16"/>
  <c r="AJ87" i="16"/>
  <c r="AK87" i="16"/>
  <c r="AL87" i="16"/>
  <c r="AM87" i="16"/>
  <c r="AB87" i="16"/>
  <c r="AC80" i="16" l="1"/>
  <c r="AD80" i="16"/>
  <c r="AE80" i="16"/>
  <c r="AF80" i="16"/>
  <c r="AG80" i="16"/>
  <c r="AH80" i="16"/>
  <c r="AI80" i="16"/>
  <c r="AJ80" i="16"/>
  <c r="AK80" i="16"/>
  <c r="AL80" i="16"/>
  <c r="AM80" i="16"/>
  <c r="AB80" i="16"/>
  <c r="AC78" i="16"/>
  <c r="AD78" i="16"/>
  <c r="AE78" i="16"/>
  <c r="AF78" i="16"/>
  <c r="AG78" i="16"/>
  <c r="AH78" i="16"/>
  <c r="AI78" i="16"/>
  <c r="AJ78" i="16"/>
  <c r="AK78" i="16"/>
  <c r="AL78" i="16"/>
  <c r="AM78" i="16"/>
  <c r="AB78" i="16"/>
  <c r="AC71" i="16" l="1"/>
  <c r="AD71" i="16"/>
  <c r="AE71" i="16"/>
  <c r="AF71" i="16"/>
  <c r="AG71" i="16"/>
  <c r="AH71" i="16"/>
  <c r="AI71" i="16"/>
  <c r="AJ71" i="16"/>
  <c r="AK71" i="16"/>
  <c r="AL71" i="16"/>
  <c r="AM71" i="16"/>
  <c r="AC69" i="16"/>
  <c r="AD69" i="16"/>
  <c r="AE69" i="16"/>
  <c r="AF69" i="16"/>
  <c r="AG69" i="16"/>
  <c r="AH69" i="16"/>
  <c r="AI69" i="16"/>
  <c r="AJ69" i="16"/>
  <c r="AK69" i="16"/>
  <c r="AL69" i="16"/>
  <c r="AM69" i="16"/>
  <c r="AC67" i="16"/>
  <c r="AD67" i="16"/>
  <c r="AE67" i="16"/>
  <c r="AF67" i="16"/>
  <c r="AG67" i="16"/>
  <c r="AH67" i="16"/>
  <c r="AI67" i="16"/>
  <c r="AJ67" i="16"/>
  <c r="AK67" i="16"/>
  <c r="AL67" i="16"/>
  <c r="AM67" i="16"/>
  <c r="AC63" i="16"/>
  <c r="AD63" i="16"/>
  <c r="AE63" i="16"/>
  <c r="AF63" i="16"/>
  <c r="AG63" i="16"/>
  <c r="AH63" i="16"/>
  <c r="AI63" i="16"/>
  <c r="AJ63" i="16"/>
  <c r="AK63" i="16"/>
  <c r="AL63" i="16"/>
  <c r="AM63" i="16"/>
  <c r="AC52" i="16"/>
  <c r="AD52" i="16"/>
  <c r="AE52" i="16"/>
  <c r="AF52" i="16"/>
  <c r="AG52" i="16"/>
  <c r="AH52" i="16"/>
  <c r="AI52" i="16"/>
  <c r="AJ52" i="16"/>
  <c r="AK52" i="16"/>
  <c r="AL52" i="16"/>
  <c r="AM52" i="16"/>
  <c r="AC50" i="16"/>
  <c r="AD50" i="16"/>
  <c r="AE50" i="16"/>
  <c r="AF50" i="16"/>
  <c r="AG50" i="16"/>
  <c r="AH50" i="16"/>
  <c r="AI50" i="16"/>
  <c r="AJ50" i="16"/>
  <c r="AK50" i="16"/>
  <c r="AL50" i="16"/>
  <c r="AM50" i="16"/>
  <c r="AC48" i="16"/>
  <c r="AD48" i="16"/>
  <c r="AE48" i="16"/>
  <c r="AF48" i="16"/>
  <c r="AG48" i="16"/>
  <c r="AH48" i="16"/>
  <c r="AI48" i="16"/>
  <c r="AJ48" i="16"/>
  <c r="AK48" i="16"/>
  <c r="AL48" i="16"/>
  <c r="AM48" i="16"/>
  <c r="AC43" i="16"/>
  <c r="AD43" i="16"/>
  <c r="AE43" i="16"/>
  <c r="AF43" i="16"/>
  <c r="AG43" i="16"/>
  <c r="AH43" i="16"/>
  <c r="AI43" i="16"/>
  <c r="AJ43" i="16"/>
  <c r="AK43" i="16"/>
  <c r="AL43" i="16"/>
  <c r="AM43" i="16"/>
  <c r="AC40" i="16"/>
  <c r="AD40" i="16"/>
  <c r="AE40" i="16"/>
  <c r="AF40" i="16"/>
  <c r="AG40" i="16"/>
  <c r="AH40" i="16"/>
  <c r="AI40" i="16"/>
  <c r="AJ40" i="16"/>
  <c r="AK40" i="16"/>
  <c r="AL40" i="16"/>
  <c r="AM40" i="16"/>
  <c r="AC37" i="16"/>
  <c r="AD37" i="16"/>
  <c r="AE37" i="16"/>
  <c r="AF37" i="16"/>
  <c r="AG37" i="16"/>
  <c r="AH37" i="16"/>
  <c r="AI37" i="16"/>
  <c r="AJ37" i="16"/>
  <c r="AK37" i="16"/>
  <c r="AL37" i="16"/>
  <c r="AM37" i="16"/>
  <c r="AC35" i="16"/>
  <c r="AD35" i="16"/>
  <c r="AE35" i="16"/>
  <c r="AF35" i="16"/>
  <c r="AG35" i="16"/>
  <c r="AH35" i="16"/>
  <c r="AI35" i="16"/>
  <c r="AJ35" i="16"/>
  <c r="AK35" i="16"/>
  <c r="AL35" i="16"/>
  <c r="AM35" i="16"/>
  <c r="AC33" i="16"/>
  <c r="AD33" i="16"/>
  <c r="AE33" i="16"/>
  <c r="AF33" i="16"/>
  <c r="AG33" i="16"/>
  <c r="AH33" i="16"/>
  <c r="AI33" i="16"/>
  <c r="AJ33" i="16"/>
  <c r="AK33" i="16"/>
  <c r="AL33" i="16"/>
  <c r="AM33" i="16"/>
  <c r="AB74" i="16"/>
  <c r="AB71" i="16"/>
  <c r="AB69" i="16"/>
  <c r="AB67" i="16"/>
  <c r="AB65" i="16"/>
  <c r="AB63" i="16"/>
  <c r="AB58" i="16"/>
  <c r="AB61" i="16"/>
  <c r="AB56" i="16"/>
  <c r="AB54" i="16"/>
  <c r="AB52" i="16"/>
  <c r="AB50" i="16"/>
  <c r="AB48" i="16"/>
  <c r="AB43" i="16"/>
  <c r="AB40" i="16"/>
  <c r="AB37" i="16"/>
  <c r="AB35" i="16"/>
  <c r="AB33" i="16"/>
  <c r="AC31" i="16"/>
  <c r="AD31" i="16"/>
  <c r="AE31" i="16"/>
  <c r="AF31" i="16"/>
  <c r="AG31" i="16"/>
  <c r="AH31" i="16"/>
  <c r="AI31" i="16"/>
  <c r="AJ31" i="16"/>
  <c r="AK31" i="16"/>
  <c r="AL31" i="16"/>
  <c r="AM31" i="16"/>
  <c r="AB31" i="16"/>
  <c r="AC29" i="16"/>
  <c r="AD29" i="16"/>
  <c r="AE29" i="16"/>
  <c r="AF29" i="16"/>
  <c r="AG29" i="16"/>
  <c r="AH29" i="16"/>
  <c r="AI29" i="16"/>
  <c r="AJ29" i="16"/>
  <c r="AK29" i="16"/>
  <c r="AL29" i="16"/>
  <c r="AM29" i="16"/>
  <c r="AB29" i="16"/>
  <c r="BA7" i="16" l="1"/>
  <c r="BB7" i="16"/>
  <c r="BC7" i="16"/>
  <c r="BA8" i="16"/>
  <c r="BB8" i="16"/>
  <c r="BC8" i="16"/>
  <c r="BA9" i="16"/>
  <c r="BB9" i="16"/>
  <c r="BC9" i="16"/>
  <c r="BA10" i="16"/>
  <c r="BB10" i="16"/>
  <c r="BC10" i="16"/>
  <c r="BA11" i="16"/>
  <c r="BB11" i="16"/>
  <c r="BC11" i="16"/>
  <c r="BA12" i="16"/>
  <c r="BB12" i="16"/>
  <c r="BC12" i="16"/>
  <c r="BA13" i="16"/>
  <c r="BB13" i="16"/>
  <c r="BC13" i="16"/>
  <c r="BA14" i="16"/>
  <c r="BB14" i="16"/>
  <c r="BC14" i="16"/>
  <c r="BA15" i="16"/>
  <c r="BB15" i="16"/>
  <c r="BC15" i="16"/>
  <c r="BA16" i="16"/>
  <c r="BB16" i="16"/>
  <c r="BC16" i="16"/>
  <c r="BA17" i="16"/>
  <c r="BB17" i="16"/>
  <c r="BC17" i="16"/>
  <c r="BA18" i="16"/>
  <c r="BB18" i="16"/>
  <c r="BC18" i="16"/>
  <c r="BA19" i="16"/>
  <c r="BB19" i="16"/>
  <c r="BC19" i="16"/>
  <c r="BA20" i="16"/>
  <c r="BB20" i="16"/>
  <c r="BC20" i="16"/>
  <c r="BA21" i="16"/>
  <c r="BB21" i="16"/>
  <c r="BC21" i="16"/>
  <c r="BA22" i="16"/>
  <c r="BB22" i="16"/>
  <c r="BC22" i="16"/>
  <c r="BA23" i="16"/>
  <c r="BB23" i="16"/>
  <c r="BC23" i="16"/>
  <c r="BA24" i="16"/>
  <c r="BB24" i="16"/>
  <c r="BC24" i="16"/>
  <c r="BA25" i="16"/>
  <c r="BB25" i="16"/>
  <c r="BC25" i="16"/>
  <c r="BA26" i="16"/>
  <c r="BB26" i="16"/>
  <c r="BC26" i="16"/>
  <c r="BA27" i="16"/>
  <c r="BB27" i="16"/>
  <c r="BC27" i="16"/>
  <c r="BA28" i="16"/>
  <c r="BB28" i="16"/>
  <c r="BC28" i="16"/>
  <c r="BA29" i="16"/>
  <c r="BB29" i="16"/>
  <c r="BC29" i="16"/>
  <c r="BA30" i="16"/>
  <c r="BB30" i="16"/>
  <c r="BC30" i="16"/>
  <c r="BA31" i="16"/>
  <c r="BB31" i="16"/>
  <c r="BC31" i="16"/>
  <c r="BA32" i="16"/>
  <c r="BB32" i="16"/>
  <c r="BC32" i="16"/>
  <c r="BA33" i="16"/>
  <c r="BB33" i="16"/>
  <c r="BC33" i="16"/>
  <c r="BA34" i="16"/>
  <c r="BB34" i="16"/>
  <c r="BC34" i="16"/>
  <c r="BA35" i="16"/>
  <c r="BB35" i="16"/>
  <c r="BC35" i="16"/>
  <c r="BA36" i="16"/>
  <c r="BB36" i="16"/>
  <c r="BC36" i="16"/>
  <c r="BA37" i="16"/>
  <c r="BB37" i="16"/>
  <c r="BC37" i="16"/>
  <c r="BA38" i="16"/>
  <c r="BB38" i="16"/>
  <c r="BC38" i="16"/>
  <c r="BA39" i="16"/>
  <c r="BB39" i="16"/>
  <c r="BC39" i="16"/>
  <c r="BA40" i="16"/>
  <c r="BB40" i="16"/>
  <c r="BC40" i="16"/>
  <c r="BA41" i="16"/>
  <c r="BB41" i="16"/>
  <c r="BC41" i="16"/>
  <c r="BA42" i="16"/>
  <c r="BB42" i="16"/>
  <c r="BC42" i="16"/>
  <c r="BA43" i="16"/>
  <c r="BB43" i="16"/>
  <c r="BC43" i="16"/>
  <c r="BA44" i="16"/>
  <c r="BB44" i="16"/>
  <c r="BC44" i="16"/>
  <c r="BA45" i="16"/>
  <c r="BB45" i="16"/>
  <c r="BC45" i="16"/>
  <c r="BA46" i="16"/>
  <c r="BB46" i="16"/>
  <c r="BC46" i="16"/>
  <c r="BA47" i="16"/>
  <c r="BB47" i="16"/>
  <c r="BC47" i="16"/>
  <c r="BA48" i="16"/>
  <c r="BB48" i="16"/>
  <c r="BC48" i="16"/>
  <c r="BA49" i="16"/>
  <c r="BB49" i="16"/>
  <c r="BC49" i="16"/>
  <c r="BA50" i="16"/>
  <c r="BB50" i="16"/>
  <c r="BC50" i="16"/>
  <c r="BA51" i="16"/>
  <c r="BB51" i="16"/>
  <c r="BC51" i="16"/>
  <c r="BA52" i="16"/>
  <c r="BB52" i="16"/>
  <c r="BC52" i="16"/>
  <c r="BA53" i="16"/>
  <c r="BB53" i="16"/>
  <c r="BC53" i="16"/>
  <c r="BA54" i="16"/>
  <c r="BB54" i="16"/>
  <c r="BC54" i="16"/>
  <c r="BA55" i="16"/>
  <c r="BB55" i="16"/>
  <c r="BC55" i="16"/>
  <c r="BA56" i="16"/>
  <c r="BB56" i="16"/>
  <c r="BC56" i="16"/>
  <c r="BA57" i="16"/>
  <c r="BB57" i="16"/>
  <c r="BC57" i="16"/>
  <c r="BA58" i="16"/>
  <c r="BB58" i="16"/>
  <c r="BC58" i="16"/>
  <c r="BA59" i="16"/>
  <c r="BB59" i="16"/>
  <c r="BC59" i="16"/>
  <c r="BA60" i="16"/>
  <c r="BB60" i="16"/>
  <c r="BC60" i="16"/>
  <c r="BA61" i="16"/>
  <c r="BB61" i="16"/>
  <c r="BC61" i="16"/>
  <c r="BA62" i="16"/>
  <c r="BB62" i="16"/>
  <c r="BC62" i="16"/>
  <c r="BA63" i="16"/>
  <c r="BB63" i="16"/>
  <c r="BC63" i="16"/>
  <c r="BA64" i="16"/>
  <c r="BB64" i="16"/>
  <c r="BC64" i="16"/>
  <c r="BA65" i="16"/>
  <c r="BB65" i="16"/>
  <c r="BC65" i="16"/>
  <c r="BA66" i="16"/>
  <c r="BB66" i="16"/>
  <c r="BC66" i="16"/>
  <c r="BA67" i="16"/>
  <c r="BB67" i="16"/>
  <c r="BC67" i="16"/>
  <c r="BA68" i="16"/>
  <c r="BB68" i="16"/>
  <c r="BC68" i="16"/>
  <c r="BA69" i="16"/>
  <c r="BB69" i="16"/>
  <c r="BC69" i="16"/>
  <c r="BA70" i="16"/>
  <c r="BB70" i="16"/>
  <c r="BC70" i="16"/>
  <c r="BA71" i="16"/>
  <c r="BB71" i="16"/>
  <c r="BC71" i="16"/>
  <c r="BA72" i="16"/>
  <c r="BB72" i="16"/>
  <c r="BC72" i="16"/>
  <c r="BA73" i="16"/>
  <c r="BB73" i="16"/>
  <c r="BC73" i="16"/>
  <c r="BA74" i="16"/>
  <c r="BB74" i="16"/>
  <c r="BC74" i="16"/>
  <c r="BA75" i="16"/>
  <c r="BB75" i="16"/>
  <c r="BC75" i="16"/>
  <c r="BA76" i="16"/>
  <c r="BB76" i="16"/>
  <c r="BC76" i="16"/>
  <c r="BA77" i="16"/>
  <c r="BB77" i="16"/>
  <c r="BC77" i="16"/>
  <c r="BA78" i="16"/>
  <c r="BB78" i="16"/>
  <c r="BC78" i="16"/>
  <c r="BA79" i="16"/>
  <c r="BB79" i="16"/>
  <c r="BC79" i="16"/>
  <c r="BA80" i="16"/>
  <c r="BB80" i="16"/>
  <c r="BC80" i="16"/>
  <c r="BA81" i="16"/>
  <c r="BB81" i="16"/>
  <c r="BC81" i="16"/>
  <c r="BA82" i="16"/>
  <c r="BB82" i="16"/>
  <c r="BC82" i="16"/>
  <c r="BA83" i="16"/>
  <c r="BB83" i="16"/>
  <c r="BC83" i="16"/>
  <c r="BA84" i="16"/>
  <c r="BB84" i="16"/>
  <c r="BC84" i="16"/>
  <c r="BA85" i="16"/>
  <c r="BB85" i="16"/>
  <c r="BC85" i="16"/>
  <c r="BA86" i="16"/>
  <c r="BB86" i="16"/>
  <c r="BC86" i="16"/>
  <c r="BA87" i="16"/>
  <c r="BB87" i="16"/>
  <c r="BC87" i="16"/>
  <c r="BB6" i="16"/>
  <c r="BC6" i="16"/>
  <c r="BA6" i="16"/>
  <c r="AZ3" i="16"/>
  <c r="AY3" i="16"/>
  <c r="AX3" i="16"/>
  <c r="BB3" i="16" l="1"/>
  <c r="BA3" i="16"/>
  <c r="BC3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88" i="16"/>
  <c r="C6" i="16"/>
  <c r="A6" i="16" s="1"/>
  <c r="C7" i="16"/>
  <c r="A7" i="16" s="1"/>
  <c r="C8" i="16"/>
  <c r="A8" i="16" s="1"/>
  <c r="C9" i="16"/>
  <c r="A9" i="16" s="1"/>
  <c r="C10" i="16"/>
  <c r="A10" i="16" s="1"/>
  <c r="C11" i="16"/>
  <c r="A11" i="16" s="1"/>
  <c r="C12" i="16"/>
  <c r="A12" i="16" s="1"/>
  <c r="C13" i="16"/>
  <c r="A13" i="16" s="1"/>
  <c r="C14" i="16"/>
  <c r="A14" i="16" s="1"/>
  <c r="C15" i="16"/>
  <c r="A15" i="16" s="1"/>
  <c r="C16" i="16"/>
  <c r="A16" i="16" s="1"/>
  <c r="C17" i="16"/>
  <c r="A17" i="16" s="1"/>
  <c r="C18" i="16"/>
  <c r="A18" i="16" s="1"/>
  <c r="C19" i="16"/>
  <c r="A19" i="16" s="1"/>
  <c r="C20" i="16"/>
  <c r="A20" i="16" s="1"/>
  <c r="C21" i="16"/>
  <c r="A21" i="16" s="1"/>
  <c r="C22" i="16"/>
  <c r="A22" i="16" s="1"/>
  <c r="C23" i="16"/>
  <c r="A23" i="16" s="1"/>
  <c r="C24" i="16"/>
  <c r="A24" i="16" s="1"/>
  <c r="C25" i="16"/>
  <c r="A25" i="16" s="1"/>
  <c r="C26" i="16"/>
  <c r="A26" i="16" s="1"/>
  <c r="C27" i="16"/>
  <c r="A27" i="16" s="1"/>
  <c r="C28" i="16"/>
  <c r="A28" i="16" s="1"/>
  <c r="C29" i="16"/>
  <c r="A29" i="16" s="1"/>
  <c r="C30" i="16"/>
  <c r="A30" i="16" s="1"/>
  <c r="C31" i="16"/>
  <c r="A31" i="16" s="1"/>
  <c r="C32" i="16"/>
  <c r="A32" i="16" s="1"/>
  <c r="C33" i="16"/>
  <c r="A33" i="16" s="1"/>
  <c r="C34" i="16"/>
  <c r="A34" i="16" s="1"/>
  <c r="C35" i="16"/>
  <c r="A35" i="16" s="1"/>
  <c r="C36" i="16"/>
  <c r="A36" i="16" s="1"/>
  <c r="C37" i="16"/>
  <c r="A37" i="16" s="1"/>
  <c r="C38" i="16"/>
  <c r="A38" i="16" s="1"/>
  <c r="C39" i="16"/>
  <c r="A39" i="16" s="1"/>
  <c r="C40" i="16"/>
  <c r="A40" i="16" s="1"/>
  <c r="C41" i="16"/>
  <c r="A41" i="16" s="1"/>
  <c r="C42" i="16"/>
  <c r="A42" i="16" s="1"/>
  <c r="C43" i="16"/>
  <c r="A43" i="16" s="1"/>
  <c r="C44" i="16"/>
  <c r="A44" i="16" s="1"/>
  <c r="C45" i="16"/>
  <c r="A45" i="16" s="1"/>
  <c r="C46" i="16"/>
  <c r="A46" i="16" s="1"/>
  <c r="C47" i="16"/>
  <c r="A47" i="16" s="1"/>
  <c r="C48" i="16"/>
  <c r="A48" i="16" s="1"/>
  <c r="C49" i="16"/>
  <c r="A49" i="16" s="1"/>
  <c r="C50" i="16"/>
  <c r="A50" i="16" s="1"/>
  <c r="C51" i="16"/>
  <c r="A51" i="16" s="1"/>
  <c r="C52" i="16"/>
  <c r="A52" i="16" s="1"/>
  <c r="C53" i="16"/>
  <c r="A53" i="16" s="1"/>
  <c r="C54" i="16"/>
  <c r="A54" i="16" s="1"/>
  <c r="C55" i="16"/>
  <c r="A55" i="16" s="1"/>
  <c r="C56" i="16"/>
  <c r="A56" i="16" s="1"/>
  <c r="C57" i="16"/>
  <c r="A57" i="16" s="1"/>
  <c r="C58" i="16"/>
  <c r="A58" i="16" s="1"/>
  <c r="C59" i="16"/>
  <c r="A59" i="16" s="1"/>
  <c r="C60" i="16"/>
  <c r="A60" i="16" s="1"/>
  <c r="C61" i="16"/>
  <c r="A61" i="16" s="1"/>
  <c r="C62" i="16"/>
  <c r="A62" i="16" s="1"/>
  <c r="C63" i="16"/>
  <c r="A63" i="16" s="1"/>
  <c r="C64" i="16"/>
  <c r="A64" i="16" s="1"/>
  <c r="C65" i="16"/>
  <c r="A65" i="16" s="1"/>
  <c r="C66" i="16"/>
  <c r="A66" i="16" s="1"/>
  <c r="C67" i="16"/>
  <c r="A67" i="16" s="1"/>
  <c r="C68" i="16"/>
  <c r="A68" i="16" s="1"/>
  <c r="C69" i="16"/>
  <c r="A69" i="16" s="1"/>
  <c r="C70" i="16"/>
  <c r="A70" i="16" s="1"/>
  <c r="C71" i="16"/>
  <c r="A71" i="16" s="1"/>
  <c r="C72" i="16"/>
  <c r="A72" i="16" s="1"/>
  <c r="C73" i="16"/>
  <c r="A73" i="16" s="1"/>
  <c r="C74" i="16"/>
  <c r="A74" i="16" s="1"/>
  <c r="C75" i="16"/>
  <c r="A75" i="16" s="1"/>
  <c r="C76" i="16"/>
  <c r="A76" i="16" s="1"/>
  <c r="C77" i="16"/>
  <c r="A77" i="16" s="1"/>
  <c r="C78" i="16"/>
  <c r="A78" i="16" s="1"/>
  <c r="C79" i="16"/>
  <c r="A79" i="16" s="1"/>
  <c r="C80" i="16"/>
  <c r="A80" i="16" s="1"/>
  <c r="C81" i="16"/>
  <c r="A81" i="16" s="1"/>
  <c r="C82" i="16"/>
  <c r="A82" i="16" s="1"/>
  <c r="C83" i="16"/>
  <c r="A83" i="16" s="1"/>
  <c r="C84" i="16"/>
  <c r="A84" i="16" s="1"/>
  <c r="C85" i="16"/>
  <c r="A85" i="16" s="1"/>
  <c r="C86" i="16"/>
  <c r="A86" i="16" s="1"/>
  <c r="C87" i="16"/>
  <c r="A87" i="16" s="1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A118" i="16" l="1"/>
  <c r="A142" i="16"/>
  <c r="A154" i="16"/>
  <c r="A160" i="16"/>
  <c r="A148" i="16"/>
  <c r="A136" i="16"/>
  <c r="A124" i="16"/>
  <c r="A112" i="16"/>
  <c r="A130" i="16"/>
  <c r="A106" i="16"/>
  <c r="A161" i="16"/>
  <c r="A143" i="16"/>
  <c r="A125" i="16"/>
  <c r="A101" i="16"/>
  <c r="A149" i="16"/>
  <c r="A131" i="16"/>
  <c r="A107" i="16"/>
  <c r="A155" i="16"/>
  <c r="A137" i="16"/>
  <c r="A119" i="16"/>
  <c r="A113" i="16"/>
  <c r="A95" i="16"/>
  <c r="A89" i="16"/>
  <c r="A100" i="16"/>
  <c r="A94" i="16"/>
  <c r="A134" i="16"/>
  <c r="A157" i="16"/>
  <c r="A151" i="16"/>
  <c r="A145" i="16"/>
  <c r="A139" i="16"/>
  <c r="A133" i="16"/>
  <c r="A127" i="16"/>
  <c r="A121" i="16"/>
  <c r="A115" i="16"/>
  <c r="A109" i="16"/>
  <c r="A103" i="16"/>
  <c r="A97" i="16"/>
  <c r="A91" i="16"/>
  <c r="A88" i="16"/>
  <c r="A158" i="16"/>
  <c r="A140" i="16"/>
  <c r="A156" i="16"/>
  <c r="A150" i="16"/>
  <c r="A144" i="16"/>
  <c r="A138" i="16"/>
  <c r="A132" i="16"/>
  <c r="A126" i="16"/>
  <c r="A120" i="16"/>
  <c r="A114" i="16"/>
  <c r="A108" i="16"/>
  <c r="A102" i="16"/>
  <c r="A96" i="16"/>
  <c r="A90" i="16"/>
  <c r="A159" i="16"/>
  <c r="A153" i="16"/>
  <c r="A147" i="16"/>
  <c r="A141" i="16"/>
  <c r="A135" i="16"/>
  <c r="A129" i="16"/>
  <c r="A123" i="16"/>
  <c r="A117" i="16"/>
  <c r="A111" i="16"/>
  <c r="A105" i="16"/>
  <c r="A99" i="16"/>
  <c r="A93" i="16"/>
  <c r="A152" i="16"/>
  <c r="A146" i="16"/>
  <c r="A128" i="16"/>
  <c r="A122" i="16"/>
  <c r="A116" i="16"/>
  <c r="A110" i="16"/>
  <c r="A104" i="16"/>
  <c r="A98" i="16"/>
  <c r="A92" i="16"/>
  <c r="P3" i="16"/>
  <c r="Q3" i="16"/>
  <c r="R3" i="16"/>
  <c r="S3" i="16"/>
  <c r="T3" i="16"/>
  <c r="U3" i="16"/>
  <c r="V3" i="16"/>
  <c r="W3" i="16"/>
  <c r="X3" i="16"/>
  <c r="Y3" i="16"/>
  <c r="Z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O3" i="16"/>
  <c r="AP3" i="16"/>
  <c r="O3" i="16"/>
  <c r="AA14" i="16" l="1"/>
  <c r="AN14" i="16"/>
  <c r="AA15" i="16"/>
  <c r="AN15" i="16"/>
  <c r="AA16" i="16"/>
  <c r="AN16" i="16"/>
  <c r="AA17" i="16"/>
  <c r="AN17" i="16"/>
  <c r="AA18" i="16"/>
  <c r="AN18" i="16"/>
  <c r="AA19" i="16"/>
  <c r="AN19" i="16"/>
  <c r="AA20" i="16"/>
  <c r="AN20" i="16"/>
  <c r="AA21" i="16"/>
  <c r="AN21" i="16"/>
  <c r="AA22" i="16"/>
  <c r="AN22" i="16"/>
  <c r="AA23" i="16"/>
  <c r="AN23" i="16"/>
  <c r="AA24" i="16"/>
  <c r="AN24" i="16"/>
  <c r="AA25" i="16"/>
  <c r="AN25" i="16"/>
  <c r="AA26" i="16"/>
  <c r="AN26" i="16"/>
  <c r="AA27" i="16"/>
  <c r="AN27" i="16"/>
  <c r="AA28" i="16"/>
  <c r="AN28" i="16"/>
  <c r="AA29" i="16"/>
  <c r="AN29" i="16"/>
  <c r="AA30" i="16"/>
  <c r="AN30" i="16"/>
  <c r="AA31" i="16"/>
  <c r="AN31" i="16"/>
  <c r="AA32" i="16"/>
  <c r="AN32" i="16"/>
  <c r="AA33" i="16"/>
  <c r="AN33" i="16"/>
  <c r="AA34" i="16"/>
  <c r="AN34" i="16"/>
  <c r="AA35" i="16"/>
  <c r="AN35" i="16"/>
  <c r="AA36" i="16"/>
  <c r="AN36" i="16"/>
  <c r="AA37" i="16"/>
  <c r="AN37" i="16"/>
  <c r="AA38" i="16"/>
  <c r="AN38" i="16"/>
  <c r="AA39" i="16"/>
  <c r="AN39" i="16"/>
  <c r="AA40" i="16"/>
  <c r="AN40" i="16"/>
  <c r="AA41" i="16"/>
  <c r="AN41" i="16"/>
  <c r="AA42" i="16"/>
  <c r="AN42" i="16"/>
  <c r="AA43" i="16"/>
  <c r="AN43" i="16"/>
  <c r="AA44" i="16"/>
  <c r="AN44" i="16"/>
  <c r="AA45" i="16"/>
  <c r="AN45" i="16"/>
  <c r="AA46" i="16"/>
  <c r="AN46" i="16"/>
  <c r="AA47" i="16"/>
  <c r="AN47" i="16"/>
  <c r="AA48" i="16"/>
  <c r="AN48" i="16"/>
  <c r="AA49" i="16"/>
  <c r="AN49" i="16"/>
  <c r="AA50" i="16"/>
  <c r="AN50" i="16"/>
  <c r="AA51" i="16"/>
  <c r="AN51" i="16"/>
  <c r="AA52" i="16"/>
  <c r="AN52" i="16"/>
  <c r="AA53" i="16"/>
  <c r="AN53" i="16"/>
  <c r="AA54" i="16"/>
  <c r="AN54" i="16"/>
  <c r="AA55" i="16"/>
  <c r="AN55" i="16"/>
  <c r="AA56" i="16"/>
  <c r="AN56" i="16"/>
  <c r="AA57" i="16"/>
  <c r="AN57" i="16"/>
  <c r="AA58" i="16"/>
  <c r="AN58" i="16"/>
  <c r="AA59" i="16"/>
  <c r="AN59" i="16"/>
  <c r="AA60" i="16"/>
  <c r="AN60" i="16"/>
  <c r="AA61" i="16"/>
  <c r="AN61" i="16"/>
  <c r="AA62" i="16"/>
  <c r="AN62" i="16"/>
  <c r="AA63" i="16"/>
  <c r="AN63" i="16"/>
  <c r="AA64" i="16"/>
  <c r="AN64" i="16"/>
  <c r="AA65" i="16"/>
  <c r="AN65" i="16"/>
  <c r="AA66" i="16"/>
  <c r="AN66" i="16"/>
  <c r="AA67" i="16"/>
  <c r="AN67" i="16"/>
  <c r="AA68" i="16"/>
  <c r="AN68" i="16"/>
  <c r="AA69" i="16"/>
  <c r="AN69" i="16"/>
  <c r="AA70" i="16"/>
  <c r="AN70" i="16"/>
  <c r="AA71" i="16"/>
  <c r="AN71" i="16"/>
  <c r="AA72" i="16"/>
  <c r="AN72" i="16"/>
  <c r="AA73" i="16"/>
  <c r="AN73" i="16"/>
  <c r="AA74" i="16"/>
  <c r="AN74" i="16"/>
  <c r="AA75" i="16"/>
  <c r="AN75" i="16"/>
  <c r="AA76" i="16"/>
  <c r="AN76" i="16"/>
  <c r="AA77" i="16"/>
  <c r="AN77" i="16"/>
  <c r="AA78" i="16"/>
  <c r="AN78" i="16"/>
  <c r="AA79" i="16"/>
  <c r="AN79" i="16"/>
  <c r="AA80" i="16"/>
  <c r="AN80" i="16"/>
  <c r="AA81" i="16"/>
  <c r="AN81" i="16"/>
  <c r="AA82" i="16"/>
  <c r="AN82" i="16"/>
  <c r="AA83" i="16"/>
  <c r="AN83" i="16"/>
  <c r="AA84" i="16"/>
  <c r="AN84" i="16"/>
  <c r="AA85" i="16"/>
  <c r="AN85" i="16"/>
  <c r="AA86" i="16"/>
  <c r="AN86" i="16"/>
  <c r="AA87" i="16"/>
  <c r="AN87" i="16"/>
  <c r="AA88" i="16"/>
  <c r="AN88" i="16"/>
  <c r="AA89" i="16"/>
  <c r="AN89" i="16"/>
  <c r="AA90" i="16"/>
  <c r="AN90" i="16"/>
  <c r="AA91" i="16"/>
  <c r="AN91" i="16"/>
  <c r="AA92" i="16"/>
  <c r="AN92" i="16"/>
  <c r="AA93" i="16"/>
  <c r="AN93" i="16"/>
  <c r="AA94" i="16"/>
  <c r="AN94" i="16"/>
  <c r="AA95" i="16"/>
  <c r="AN95" i="16"/>
  <c r="AA96" i="16"/>
  <c r="AN96" i="16"/>
  <c r="AA97" i="16"/>
  <c r="AN97" i="16"/>
  <c r="AA98" i="16"/>
  <c r="AN98" i="16"/>
  <c r="AA99" i="16"/>
  <c r="AN99" i="16"/>
  <c r="AA100" i="16"/>
  <c r="AN100" i="16"/>
  <c r="AA101" i="16"/>
  <c r="AN101" i="16"/>
  <c r="AA102" i="16"/>
  <c r="AN102" i="16"/>
  <c r="AA103" i="16"/>
  <c r="AN103" i="16"/>
  <c r="AA104" i="16"/>
  <c r="AN104" i="16"/>
  <c r="AA105" i="16"/>
  <c r="AN105" i="16"/>
  <c r="AA106" i="16"/>
  <c r="AN106" i="16"/>
  <c r="AA107" i="16"/>
  <c r="AN107" i="16"/>
  <c r="AA108" i="16"/>
  <c r="AN108" i="16"/>
  <c r="AA109" i="16"/>
  <c r="AN109" i="16"/>
  <c r="AA110" i="16"/>
  <c r="AN110" i="16"/>
  <c r="AA111" i="16"/>
  <c r="AN111" i="16"/>
  <c r="AA112" i="16"/>
  <c r="AN112" i="16"/>
  <c r="AA113" i="16"/>
  <c r="AN113" i="16"/>
  <c r="AA114" i="16"/>
  <c r="AN114" i="16"/>
  <c r="AA115" i="16"/>
  <c r="AN115" i="16"/>
  <c r="AA116" i="16"/>
  <c r="AN116" i="16"/>
  <c r="AA117" i="16"/>
  <c r="AN117" i="16"/>
  <c r="AA118" i="16"/>
  <c r="AN118" i="16"/>
  <c r="AA119" i="16"/>
  <c r="AN119" i="16"/>
  <c r="AA120" i="16"/>
  <c r="AN120" i="16"/>
  <c r="AA121" i="16"/>
  <c r="AN121" i="16"/>
  <c r="AA122" i="16"/>
  <c r="AN122" i="16"/>
  <c r="AA123" i="16"/>
  <c r="AN123" i="16"/>
  <c r="AA124" i="16"/>
  <c r="AN124" i="16"/>
  <c r="AA125" i="16"/>
  <c r="AN125" i="16"/>
  <c r="AA126" i="16"/>
  <c r="AN126" i="16"/>
  <c r="AA127" i="16"/>
  <c r="AN127" i="16"/>
  <c r="AA128" i="16"/>
  <c r="AN128" i="16"/>
  <c r="AA129" i="16"/>
  <c r="AN129" i="16"/>
  <c r="AA130" i="16"/>
  <c r="AN130" i="16"/>
  <c r="AA131" i="16"/>
  <c r="AN131" i="16"/>
  <c r="AA132" i="16"/>
  <c r="AN132" i="16"/>
  <c r="AA133" i="16"/>
  <c r="AN133" i="16"/>
  <c r="AA134" i="16"/>
  <c r="AN134" i="16"/>
  <c r="AA135" i="16"/>
  <c r="AN135" i="16"/>
  <c r="AA136" i="16"/>
  <c r="AN136" i="16"/>
  <c r="AA137" i="16"/>
  <c r="AN137" i="16"/>
  <c r="AA138" i="16"/>
  <c r="AN138" i="16"/>
  <c r="AA139" i="16"/>
  <c r="AN139" i="16"/>
  <c r="AA140" i="16"/>
  <c r="AN140" i="16"/>
  <c r="AA141" i="16"/>
  <c r="AN141" i="16"/>
  <c r="AA142" i="16"/>
  <c r="AN142" i="16"/>
  <c r="AA143" i="16"/>
  <c r="AN143" i="16"/>
  <c r="AA144" i="16"/>
  <c r="AN144" i="16"/>
  <c r="AA145" i="16"/>
  <c r="AN145" i="16"/>
  <c r="AA146" i="16"/>
  <c r="AN146" i="16"/>
  <c r="AA147" i="16"/>
  <c r="AN147" i="16"/>
  <c r="AA148" i="16"/>
  <c r="AN148" i="16"/>
  <c r="AA149" i="16"/>
  <c r="AN149" i="16"/>
  <c r="AA150" i="16"/>
  <c r="AN150" i="16"/>
  <c r="AA151" i="16"/>
  <c r="AN151" i="16"/>
  <c r="AA152" i="16"/>
  <c r="AN152" i="16"/>
  <c r="AA153" i="16"/>
  <c r="AN153" i="16"/>
  <c r="AA154" i="16"/>
  <c r="AN154" i="16"/>
  <c r="AA155" i="16"/>
  <c r="AN155" i="16"/>
  <c r="AA156" i="16"/>
  <c r="AN156" i="16"/>
  <c r="AA157" i="16"/>
  <c r="AN157" i="16"/>
  <c r="AA158" i="16"/>
  <c r="AN158" i="16"/>
  <c r="AA159" i="16"/>
  <c r="AN159" i="16"/>
  <c r="AA160" i="16"/>
  <c r="AN160" i="16"/>
  <c r="AA161" i="16"/>
  <c r="AN161" i="16"/>
  <c r="AA6" i="16"/>
  <c r="AN6" i="16"/>
  <c r="AA7" i="16"/>
  <c r="AN7" i="16"/>
  <c r="AA8" i="16"/>
  <c r="AN8" i="16"/>
  <c r="AA9" i="16"/>
  <c r="AN9" i="16"/>
  <c r="AA10" i="16"/>
  <c r="AN10" i="16"/>
  <c r="AA11" i="16"/>
  <c r="AN11" i="16"/>
  <c r="AA12" i="16"/>
  <c r="AN12" i="16"/>
  <c r="AA13" i="16"/>
  <c r="AN13" i="16"/>
  <c r="AA3" i="16" l="1"/>
  <c r="AN3" i="16"/>
  <c r="S6" i="6" l="1"/>
  <c r="T6" i="6"/>
  <c r="U6" i="6"/>
  <c r="V6" i="6"/>
  <c r="R6" i="6"/>
  <c r="AC6" i="6"/>
  <c r="AC7" i="6" l="1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6" i="6"/>
  <c r="O6" i="6" s="1"/>
  <c r="N6" i="6" l="1"/>
  <c r="L6" i="6"/>
  <c r="M6" i="6"/>
  <c r="Q6" i="6"/>
  <c r="P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CT_sales" type="5" refreshedVersion="6" background="1" saveData="1">
    <dbPr connection="Provider=MSOLAP.5;Integrated Security=SSPI;Persist Security Info=True;Initial Catalog=ACT_sales;Data Source=wrp-sandbx-app1.sovcombank.group;MDX Compatibility=1;Safety Options=2;MDX Missing Member Mode=Error;Update Isolation Level=2" command="INSUR FIN" commandType="1"/>
    <olapPr sendLocale="1" rowDrillCount="1000"/>
  </connection>
  <connection id="2" xr16:uid="{00000000-0015-0000-FFFF-FFFF01000000}" keepAlive="1" name="ACT_sales12" type="5" refreshedVersion="6" background="1" saveData="1">
    <dbPr connection="Provider=MSOLAP.5;Integrated Security=SSPI;Persist Security Info=True;Initial Catalog=ACT_sales;Data Source=wrp-sandbx-app1.sovcombank.group;MDX Compatibility=1;Safety Options=2;MDX Missing Member Mode=Error;Update Isolation Level=2" command="INSUR FIN" commandType="1"/>
    <olapPr sendLocale="1" rowDrillCount="1000"/>
  </connection>
</connections>
</file>

<file path=xl/sharedStrings.xml><?xml version="1.0" encoding="utf-8"?>
<sst xmlns="http://schemas.openxmlformats.org/spreadsheetml/2006/main" count="1691" uniqueCount="279">
  <si>
    <t>ЛБ</t>
  </si>
  <si>
    <t>Лайф</t>
  </si>
  <si>
    <t>НСЖ</t>
  </si>
  <si>
    <t>НП</t>
  </si>
  <si>
    <t>СКБСЖ</t>
  </si>
  <si>
    <t>Розница</t>
  </si>
  <si>
    <t>WM</t>
  </si>
  <si>
    <t>Компания</t>
  </si>
  <si>
    <t>Канал</t>
  </si>
  <si>
    <t>Подканал</t>
  </si>
  <si>
    <t>Продукт</t>
  </si>
  <si>
    <t>Периодичность</t>
  </si>
  <si>
    <t>Дюрация факт 2025</t>
  </si>
  <si>
    <t>&lt; 1 г</t>
  </si>
  <si>
    <t xml:space="preserve"> 1-3</t>
  </si>
  <si>
    <t xml:space="preserve"> 3-5</t>
  </si>
  <si>
    <t xml:space="preserve"> 5-10</t>
  </si>
  <si>
    <t>10+</t>
  </si>
  <si>
    <t>Дюрация факт 2025, структура,%</t>
  </si>
  <si>
    <t>итого</t>
  </si>
  <si>
    <t>подканал</t>
  </si>
  <si>
    <t>куб</t>
  </si>
  <si>
    <t>расчет</t>
  </si>
  <si>
    <t>Дюрация план 2026</t>
  </si>
  <si>
    <t>ввод</t>
  </si>
  <si>
    <t>изначально = факту, но с возможностью корректировки</t>
  </si>
  <si>
    <t>ПЛАН ПРОДАЖ НА 2026-2028 гг</t>
  </si>
  <si>
    <t>(Все)</t>
  </si>
  <si>
    <t>Названия строк</t>
  </si>
  <si>
    <t>Новый</t>
  </si>
  <si>
    <t>Нон-лайф</t>
  </si>
  <si>
    <t>ДМС</t>
  </si>
  <si>
    <t>КСЖ</t>
  </si>
  <si>
    <t>НС</t>
  </si>
  <si>
    <t>Мульти</t>
  </si>
  <si>
    <t>Общий итог</t>
  </si>
  <si>
    <t>Премия факт 9 мес 2025</t>
  </si>
  <si>
    <t>Премия прогноз 4 кв 2025</t>
  </si>
  <si>
    <t>Премия план 2026</t>
  </si>
  <si>
    <t>ключ</t>
  </si>
  <si>
    <t>Агенты</t>
  </si>
  <si>
    <t>L/NL</t>
  </si>
  <si>
    <t>Сегмент</t>
  </si>
  <si>
    <t>Подканал (код)</t>
  </si>
  <si>
    <t xml:space="preserve">ЛБ </t>
  </si>
  <si>
    <t>Регион</t>
  </si>
  <si>
    <t>Москва</t>
  </si>
  <si>
    <t>СКБС</t>
  </si>
  <si>
    <t>Пролонгация</t>
  </si>
  <si>
    <t>Код канала (продукта)</t>
  </si>
  <si>
    <t>Адыгея</t>
  </si>
  <si>
    <t>Алтай</t>
  </si>
  <si>
    <t>Архангельск</t>
  </si>
  <si>
    <t>Астрахань</t>
  </si>
  <si>
    <t>Барнаул</t>
  </si>
  <si>
    <t>Башкортостан</t>
  </si>
  <si>
    <t>Белгород</t>
  </si>
  <si>
    <t>Благовещенск</t>
  </si>
  <si>
    <t>Брянск</t>
  </si>
  <si>
    <t>Бурятия</t>
  </si>
  <si>
    <t>Великий Новгород</t>
  </si>
  <si>
    <t>Владивосток</t>
  </si>
  <si>
    <t>Владимир</t>
  </si>
  <si>
    <t>Волгоград</t>
  </si>
  <si>
    <t>Вологда</t>
  </si>
  <si>
    <t>Воронеж</t>
  </si>
  <si>
    <t>Дагестан</t>
  </si>
  <si>
    <t>Екатеринбург</t>
  </si>
  <si>
    <t>Иваново</t>
  </si>
  <si>
    <t>Ингушетия</t>
  </si>
  <si>
    <t>Иркутск</t>
  </si>
  <si>
    <t>Кабардино-Балкария</t>
  </si>
  <si>
    <t>Калининград</t>
  </si>
  <si>
    <t>Калмыкия</t>
  </si>
  <si>
    <t>Калуга</t>
  </si>
  <si>
    <t>Карачаево-Черкесия</t>
  </si>
  <si>
    <t>Карелия</t>
  </si>
  <si>
    <t>Кемерово</t>
  </si>
  <si>
    <t>Киров</t>
  </si>
  <si>
    <t>Коми</t>
  </si>
  <si>
    <t>Кострома</t>
  </si>
  <si>
    <t>Краснодар</t>
  </si>
  <si>
    <t>Красноярск</t>
  </si>
  <si>
    <t>Крым</t>
  </si>
  <si>
    <t>Курган</t>
  </si>
  <si>
    <t>Курск</t>
  </si>
  <si>
    <t>Ленинградская область</t>
  </si>
  <si>
    <t>Липецк</t>
  </si>
  <si>
    <t>Магадан</t>
  </si>
  <si>
    <t>Марий Эл</t>
  </si>
  <si>
    <t>Мордовия</t>
  </si>
  <si>
    <t>Московская область</t>
  </si>
  <si>
    <t>Мурманск</t>
  </si>
  <si>
    <t>Н.Новгород</t>
  </si>
  <si>
    <t>Новосибирск</t>
  </si>
  <si>
    <t>Омск</t>
  </si>
  <si>
    <t>Орел</t>
  </si>
  <si>
    <t>Оренбург</t>
  </si>
  <si>
    <t>Пенза</t>
  </si>
  <si>
    <t>Пермь</t>
  </si>
  <si>
    <t>Петропавловск-Камчатский</t>
  </si>
  <si>
    <t>Псков</t>
  </si>
  <si>
    <t>Ростов</t>
  </si>
  <si>
    <t>Рязань</t>
  </si>
  <si>
    <t>Самара</t>
  </si>
  <si>
    <t>Саратов</t>
  </si>
  <si>
    <t>Севастополь</t>
  </si>
  <si>
    <t>Северная Осетия</t>
  </si>
  <si>
    <t>Смоленск</t>
  </si>
  <si>
    <t>СПб</t>
  </si>
  <si>
    <t>Ставрополь</t>
  </si>
  <si>
    <t>Тамбов</t>
  </si>
  <si>
    <t>Татарстан</t>
  </si>
  <si>
    <t>Тверь</t>
  </si>
  <si>
    <t>Томск</t>
  </si>
  <si>
    <t>Тула</t>
  </si>
  <si>
    <t>Тыва</t>
  </si>
  <si>
    <t>Тюмень</t>
  </si>
  <si>
    <t>Удмуртия</t>
  </si>
  <si>
    <t>Ульяновск</t>
  </si>
  <si>
    <t>Хабаровск</t>
  </si>
  <si>
    <t>Хакасия</t>
  </si>
  <si>
    <t>Челябинск</t>
  </si>
  <si>
    <t>Чечня</t>
  </si>
  <si>
    <t>Чита</t>
  </si>
  <si>
    <t>Чувашия</t>
  </si>
  <si>
    <t>Южно-Сахалинск</t>
  </si>
  <si>
    <t>Якутия</t>
  </si>
  <si>
    <t>Ярославль</t>
  </si>
  <si>
    <t>Новый регион</t>
  </si>
  <si>
    <t>Линия бизнеса</t>
  </si>
  <si>
    <t>Новые ТП</t>
  </si>
  <si>
    <t>Анадырь</t>
  </si>
  <si>
    <t>Биробиджан</t>
  </si>
  <si>
    <t>Донецк</t>
  </si>
  <si>
    <t>Луганск</t>
  </si>
  <si>
    <t>Мелитополь</t>
  </si>
  <si>
    <t>Нарьян-Мар</t>
  </si>
  <si>
    <t>Салехард</t>
  </si>
  <si>
    <t>Ханты-Мансийск</t>
  </si>
  <si>
    <t>выгрузка</t>
  </si>
  <si>
    <t>Справочник продуктов</t>
  </si>
  <si>
    <t>формула</t>
  </si>
  <si>
    <t>СПРАВОЧНИК НОВЫХ ТОЧЕК ПРОДАЖ</t>
  </si>
  <si>
    <t>признак</t>
  </si>
  <si>
    <t>пояснение к добавлению новой точки</t>
  </si>
  <si>
    <t>текущие точки</t>
  </si>
  <si>
    <t>новые точки</t>
  </si>
  <si>
    <t>СПРАВОЧНИК РЕГИОНОВ</t>
  </si>
  <si>
    <t>!!! Для Добавления Новых Точек продаж в форму  Вам необходимо: 
1) в столбце "Регион" выбрать из выпадающего списка Регион;
2) далее в столбце "Новые ТП" вести вручную название  новой ТП (каждую точку на отдельной строке), по которому будем ее идентифицировать в бюджете.
NB! Название должно быть таким же, которое Вы используете в форме "по Бюджету Расходов по этой новой точке.</t>
  </si>
  <si>
    <t>СПРАВОЧНИК КАНАЛОВ ПРОДАЖ</t>
  </si>
  <si>
    <t>Ответственный (ФИО)</t>
  </si>
  <si>
    <t>Пояснения к плану</t>
  </si>
  <si>
    <t>%КВ 2025</t>
  </si>
  <si>
    <t>%КВ 2026</t>
  </si>
  <si>
    <t>%КВ 2027</t>
  </si>
  <si>
    <t>%КВ 2028</t>
  </si>
  <si>
    <t>Дополнительные поля</t>
  </si>
  <si>
    <t>Итого</t>
  </si>
  <si>
    <t>Премия план 2027-2028</t>
  </si>
  <si>
    <t>Новый бизнес/ Пролонгация</t>
  </si>
  <si>
    <t>ПРОМЕЖУТОЧН.ИТОГ</t>
  </si>
  <si>
    <t>выбор из списка</t>
  </si>
  <si>
    <t>Портфель</t>
  </si>
  <si>
    <t xml:space="preserve"> янв.25</t>
  </si>
  <si>
    <t xml:space="preserve"> фев.25</t>
  </si>
  <si>
    <t xml:space="preserve"> мар.25</t>
  </si>
  <si>
    <t xml:space="preserve"> апр.25</t>
  </si>
  <si>
    <t xml:space="preserve"> май.25</t>
  </si>
  <si>
    <t xml:space="preserve"> июн.25</t>
  </si>
  <si>
    <t xml:space="preserve"> июл.25</t>
  </si>
  <si>
    <t xml:space="preserve"> авг.25</t>
  </si>
  <si>
    <t xml:space="preserve"> сен.25</t>
  </si>
  <si>
    <t xml:space="preserve"> окт.25</t>
  </si>
  <si>
    <t xml:space="preserve"> ноя.25</t>
  </si>
  <si>
    <t xml:space="preserve"> дек.25</t>
  </si>
  <si>
    <t xml:space="preserve"> 2025г</t>
  </si>
  <si>
    <t xml:space="preserve"> янв.26</t>
  </si>
  <si>
    <t xml:space="preserve"> фев.26</t>
  </si>
  <si>
    <t xml:space="preserve"> мар.26</t>
  </si>
  <si>
    <t xml:space="preserve"> апр.26</t>
  </si>
  <si>
    <t xml:space="preserve"> июн.26</t>
  </si>
  <si>
    <t xml:space="preserve"> июл.26</t>
  </si>
  <si>
    <t xml:space="preserve"> авг.26</t>
  </si>
  <si>
    <t xml:space="preserve"> сен.26</t>
  </si>
  <si>
    <t xml:space="preserve"> окт.26</t>
  </si>
  <si>
    <t xml:space="preserve"> ноя.26</t>
  </si>
  <si>
    <t xml:space="preserve"> дек.26</t>
  </si>
  <si>
    <t xml:space="preserve"> 2026г</t>
  </si>
  <si>
    <t xml:space="preserve"> 2027</t>
  </si>
  <si>
    <t xml:space="preserve"> 2028</t>
  </si>
  <si>
    <t xml:space="preserve"> 2026/2025,%</t>
  </si>
  <si>
    <t>Новая ТП_.11</t>
  </si>
  <si>
    <t>Регулярная</t>
  </si>
  <si>
    <t>Единовременная</t>
  </si>
  <si>
    <t>(пусто)</t>
  </si>
  <si>
    <t>Дело жизни</t>
  </si>
  <si>
    <t>НСЖ (СиВ)</t>
  </si>
  <si>
    <t>Стабильный курс</t>
  </si>
  <si>
    <t>Максимальная выгода</t>
  </si>
  <si>
    <t>Брокеры</t>
  </si>
  <si>
    <t>Корпораты</t>
  </si>
  <si>
    <t>Гибкий курс</t>
  </si>
  <si>
    <t>Индив Пенсия</t>
  </si>
  <si>
    <t>Банкострахование</t>
  </si>
  <si>
    <t>Уралсиб</t>
  </si>
  <si>
    <t>Розница (прочее)</t>
  </si>
  <si>
    <t>Рыночный НС</t>
  </si>
  <si>
    <t>НСЖ с Кэшбеком</t>
  </si>
  <si>
    <t>СКБЖ</t>
  </si>
  <si>
    <t>Групп. пенсия</t>
  </si>
  <si>
    <t>Индив. пенсия</t>
  </si>
  <si>
    <t>Классика+</t>
  </si>
  <si>
    <t>Курс жизни Про</t>
  </si>
  <si>
    <t>Прочее (СКБЖ)</t>
  </si>
  <si>
    <t>Юниор+</t>
  </si>
  <si>
    <t>КорпЖ</t>
  </si>
  <si>
    <t>КорпНС</t>
  </si>
  <si>
    <t>НСЖ (СИВ)ДМС</t>
  </si>
  <si>
    <t>НСЖ (СИВ)НС</t>
  </si>
  <si>
    <t>Будущее под ключ</t>
  </si>
  <si>
    <t>Детский капитал</t>
  </si>
  <si>
    <t>ИСЖ (СиВ)</t>
  </si>
  <si>
    <t>Прочее (СИВ)</t>
  </si>
  <si>
    <t>Citi Comfort</t>
  </si>
  <si>
    <t>Citi Health</t>
  </si>
  <si>
    <t>Citi Kids</t>
  </si>
  <si>
    <t>Citi Premium</t>
  </si>
  <si>
    <t>Сила процента</t>
  </si>
  <si>
    <t>ДМС (СиВ)</t>
  </si>
  <si>
    <t>КСЖ (СИВ)</t>
  </si>
  <si>
    <t>НС (СиВ)</t>
  </si>
  <si>
    <t>ИСЖ (Уралсиб)</t>
  </si>
  <si>
    <t>Верное решение</t>
  </si>
  <si>
    <t>НСЖ (Уралсиб)</t>
  </si>
  <si>
    <t>Легкий старт</t>
  </si>
  <si>
    <t>Прочее (Уралсиб)</t>
  </si>
  <si>
    <t>Стабильный доход</t>
  </si>
  <si>
    <t>КСЖ (Уралсиб)</t>
  </si>
  <si>
    <t>старое наименование</t>
  </si>
  <si>
    <t>новое наименование</t>
  </si>
  <si>
    <t>ГК</t>
  </si>
  <si>
    <t>НСЖ_КБ</t>
  </si>
  <si>
    <t>Групп.пенсия</t>
  </si>
  <si>
    <t>Индив.пенсия</t>
  </si>
  <si>
    <t>ИСЖ_СИВ</t>
  </si>
  <si>
    <t>НСЖ_СИВ</t>
  </si>
  <si>
    <t>ИСЖ_Уралсиб</t>
  </si>
  <si>
    <t>НСЖ_Уралсиб</t>
  </si>
  <si>
    <t>ДМС_СИВ</t>
  </si>
  <si>
    <t>КСЖ_СИВ</t>
  </si>
  <si>
    <t>НС_СИВ</t>
  </si>
  <si>
    <t>НСЖ_СИВ_ДМС</t>
  </si>
  <si>
    <t>НСЖ_СИВ_НС</t>
  </si>
  <si>
    <t>КСЖ_Уралсиб</t>
  </si>
  <si>
    <t>Прочее_Уралсиб</t>
  </si>
  <si>
    <t>Линия бизнеса (форма)</t>
  </si>
  <si>
    <t>1. Выбираем Портфель (вып список) - &gt; 2.  выбираем Линию бизнеса (вып.список) - 3. Выбираем продукт (вып список)</t>
  </si>
  <si>
    <t>Портфели - ЛБ (для выбора в форме)</t>
  </si>
  <si>
    <t>Доп аналитики (для выбора в форме</t>
  </si>
  <si>
    <t>НСЖ_новый</t>
  </si>
  <si>
    <t>ЛБ - Продукт для выбора в форме</t>
  </si>
  <si>
    <t>Уралсиб_</t>
  </si>
  <si>
    <t>Отдел заботы</t>
  </si>
  <si>
    <t>%КВ</t>
  </si>
  <si>
    <t>Премия прогноз 4 кв 2025 (1 версия)</t>
  </si>
  <si>
    <t>ок</t>
  </si>
  <si>
    <t>подняли до уровня 3 кв</t>
  </si>
  <si>
    <t>добавлено по факту 3 кв</t>
  </si>
  <si>
    <t>почему было обнулено окт + нояб? Вернули</t>
  </si>
  <si>
    <t>не ставим прогноз</t>
  </si>
  <si>
    <t>обнулен прогноз на этой строке, т.к. заложен выше</t>
  </si>
  <si>
    <t>обнулено, нет факта</t>
  </si>
  <si>
    <t>удалили минус</t>
  </si>
  <si>
    <t>Дельта прогноз 4кв 2025 (было / стало)</t>
  </si>
  <si>
    <t>Справочно</t>
  </si>
  <si>
    <t>коммент к корректировке прогноза 4кв25</t>
  </si>
  <si>
    <t>увеличено (факт окт 1,2 млрд)</t>
  </si>
  <si>
    <t>ок кроме октября (окт по факту)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</si>
</sst>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rgb="FFFFFFCC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rgb="FF0000FF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0" tint="-0.499984740745262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4" fillId="0" borderId="0"/>
  </cellStyleXfs>
  <cellXfs count="79">
    <xf numFmtId="0" fontId="0" fillId="0" borderId="0" xfId="0"/>
    <xf numFmtId="0" fontId="0" fillId="2" borderId="1" xfId="0" applyFill="1" applyBorder="1"/>
    <xf numFmtId="0" fontId="3" fillId="2" borderId="1" xfId="0" applyFont="1" applyFill="1" applyBorder="1"/>
    <xf numFmtId="9" fontId="0" fillId="5" borderId="1" xfId="1" applyFont="1" applyFill="1" applyBorder="1"/>
    <xf numFmtId="3" fontId="0" fillId="5" borderId="1" xfId="0" applyNumberFormat="1" applyFill="1" applyBorder="1"/>
    <xf numFmtId="3" fontId="0" fillId="3" borderId="1" xfId="0" applyNumberFormat="1" applyFill="1" applyBorder="1"/>
    <xf numFmtId="0" fontId="3" fillId="2" borderId="1" xfId="0" applyFont="1" applyFill="1" applyBorder="1" applyAlignment="1">
      <alignment horizontal="center"/>
    </xf>
    <xf numFmtId="16" fontId="3" fillId="2" borderId="1" xfId="0" applyNumberFormat="1" applyFont="1" applyFill="1" applyBorder="1"/>
    <xf numFmtId="0" fontId="5" fillId="0" borderId="0" xfId="0" applyFont="1"/>
    <xf numFmtId="10" fontId="0" fillId="4" borderId="1" xfId="1" applyNumberFormat="1" applyFont="1" applyFill="1" applyBorder="1"/>
    <xf numFmtId="0" fontId="1" fillId="4" borderId="1" xfId="0" applyFont="1" applyFill="1" applyBorder="1"/>
    <xf numFmtId="164" fontId="0" fillId="3" borderId="1" xfId="1" applyNumberFormat="1" applyFont="1" applyFill="1" applyBorder="1"/>
    <xf numFmtId="164" fontId="0" fillId="5" borderId="1" xfId="1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1" xfId="0" applyBorder="1"/>
    <xf numFmtId="0" fontId="4" fillId="0" borderId="0" xfId="0" applyFont="1"/>
    <xf numFmtId="0" fontId="9" fillId="0" borderId="0" xfId="0" applyFont="1"/>
    <xf numFmtId="0" fontId="0" fillId="2" borderId="0" xfId="0" applyFill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0" fontId="0" fillId="6" borderId="1" xfId="0" applyFill="1" applyBorder="1" applyProtection="1">
      <protection locked="0"/>
    </xf>
    <xf numFmtId="0" fontId="8" fillId="7" borderId="7" xfId="0" applyFont="1" applyFill="1" applyBorder="1" applyAlignment="1">
      <alignment horizontal="center" vertical="center"/>
    </xf>
    <xf numFmtId="0" fontId="0" fillId="6" borderId="5" xfId="0" applyFill="1" applyBorder="1" applyProtection="1">
      <protection locked="0"/>
    </xf>
    <xf numFmtId="0" fontId="0" fillId="8" borderId="0" xfId="0" applyFill="1"/>
    <xf numFmtId="0" fontId="8" fillId="7" borderId="0" xfId="0" applyFont="1" applyFill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right"/>
    </xf>
    <xf numFmtId="3" fontId="3" fillId="3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3" fontId="0" fillId="2" borderId="0" xfId="0" applyNumberFormat="1" applyFill="1"/>
    <xf numFmtId="9" fontId="13" fillId="0" borderId="0" xfId="0" applyNumberFormat="1" applyFont="1"/>
    <xf numFmtId="3" fontId="0" fillId="6" borderId="1" xfId="0" applyNumberFormat="1" applyFill="1" applyBorder="1" applyProtection="1">
      <protection locked="0"/>
    </xf>
    <xf numFmtId="9" fontId="0" fillId="6" borderId="1" xfId="0" applyNumberFormat="1" applyFill="1" applyBorder="1" applyProtection="1">
      <protection locked="0"/>
    </xf>
    <xf numFmtId="0" fontId="12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17" fontId="3" fillId="2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8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3" fillId="9" borderId="8" xfId="0" applyFont="1" applyFill="1" applyBorder="1"/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15" fillId="8" borderId="0" xfId="0" applyFont="1" applyFill="1"/>
    <xf numFmtId="0" fontId="3" fillId="2" borderId="8" xfId="0" applyFont="1" applyFill="1" applyBorder="1" applyAlignment="1">
      <alignment vertical="top"/>
    </xf>
    <xf numFmtId="0" fontId="8" fillId="7" borderId="0" xfId="0" applyFont="1" applyFill="1" applyAlignment="1">
      <alignment horizontal="left" vertical="center"/>
    </xf>
    <xf numFmtId="0" fontId="0" fillId="2" borderId="8" xfId="0" applyFill="1" applyBorder="1"/>
    <xf numFmtId="0" fontId="10" fillId="0" borderId="0" xfId="0" applyFont="1"/>
    <xf numFmtId="0" fontId="8" fillId="7" borderId="6" xfId="0" applyFont="1" applyFill="1" applyBorder="1" applyAlignment="1">
      <alignment vertical="center"/>
    </xf>
    <xf numFmtId="3" fontId="0" fillId="0" borderId="0" xfId="0" applyNumberFormat="1"/>
    <xf numFmtId="9" fontId="13" fillId="2" borderId="0" xfId="0" applyNumberFormat="1" applyFont="1" applyFill="1"/>
    <xf numFmtId="0" fontId="0" fillId="6" borderId="0" xfId="0" applyFill="1"/>
    <xf numFmtId="17" fontId="3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3" fontId="0" fillId="10" borderId="1" xfId="0" applyNumberFormat="1" applyFill="1" applyBorder="1"/>
    <xf numFmtId="0" fontId="16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5">
    <cellStyle name="Normal" xfId="0" builtinId="0"/>
    <cellStyle name="Percent" xfId="1" builtinId="5"/>
    <cellStyle name="Обычный 10 2 3 2 2 2 2 2 2" xfId="3" xr:uid="{00000000-0005-0000-0000-000002000000}"/>
    <cellStyle name="Обычный 2" xfId="2" xr:uid="{00000000-0005-0000-0000-000003000000}"/>
    <cellStyle name="Обычный 23" xfId="4" xr:uid="{00000000-0005-0000-0000-000004000000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border outline="0">
        <top style="hair">
          <color indexed="64"/>
        </top>
      </border>
    </dxf>
    <dxf>
      <border outline="0">
        <top style="thin">
          <color theme="4" tint="0.39997558519241921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border outline="0">
        <top style="hair">
          <color indexed="64"/>
        </top>
      </border>
    </dxf>
    <dxf>
      <border outline="0">
        <top style="thin">
          <color theme="4" tint="0.39997558519241921"/>
        </top>
        <bottom style="hair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protection locked="0" hidden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top style="hair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rgb="FF0000FF"/>
      </font>
    </dxf>
    <dxf>
      <numFmt numFmtId="13" formatCode="0%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</dxfs>
  <tableStyles count="0" defaultTableStyle="TableStyleMedium2" defaultPivotStyle="PivotStyleLight16"/>
  <colors>
    <mruColors>
      <color rgb="FFFFCC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pivotCacheDefinition" Target="pivotCache/pivotCacheDefinition2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pivotCacheDefinition" Target="pivotCache/pivotCacheDefinition1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connections" Target="connections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ncipa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84;&#1077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uwmskkosaevbu/Interim/DOCUME~1/Nick/LOCALS~1/Temp/Rar$DI00.422/Incoming/Svetla/Svetla_31.12.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Pr&#228;sentationsunterlagen%20Forecast%201%202004/Anlage%201%20zu%20TOP%202.4%20Unterlage%20Forecast%202004%20Erstversicheru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RUWMSKSBERBANK/aws/windows/TEMP/&#1055;&#1088;&#1080;&#1083;&#1086;&#1078;&#1077;&#1085;&#1080;&#1077;%20&#8470;%2017%20&#1089;%201.06.2002&#1075;.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iv-life.ru/Files/Finance/Planning&amp;Reporting/IFRS%20reports/2016/1-st%20Q%202016/1Q%202016/CiV/Life/Hard%20close/Overdue%20Report_31.08.201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civ-life.ru/files/FC3%202011%20&amp;%20MTP2012-2016/211838411_Amendment%20Report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Finance/Planning&amp;Reporting/IFRS%20reports/2014/3-rd%20Q%202014/PA/&#1046;&#1091;&#1088;&#1085;&#1072;&#1083;%20PA%20&#1044;&#1080;&#1072;&#1089;&#1086;&#1092;&#1090;%209%20&#1084;&#1077;&#1089;%202014_FC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Finance/Planning&amp;Reporting/IFRS%20reports/2014/3-rd%20Q%202014/PA/&#1046;&#1091;&#1088;&#1085;&#1072;&#1083;%20PA%20&#1044;&#1080;&#1072;&#1089;&#1086;&#1092;&#1090;%209%20&#1084;&#1077;&#1089;%202014_F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wmf-fs.sovcombank.group/bank-all/Users/demidovamn/Desktop/&#1057;&#1050;&#1041;&#1046;/&#1052;&#1086;&#1076;&#1077;&#1083;&#1100;%20&#1076;&#1083;&#1103;%20&#1088;&#1072;&#1089;&#1095;&#1077;&#1090;&#1072;%20&#1087;&#1086;&#1090;&#1086;&#1082;&#1086;&#1074;/Data%20(31.08.2022)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ovcombank.group/fs/Finance/Planning&amp;Reporting/IFRS%20reports/2020/01_CIV/08_August/01_Data_sourses/Qlik+DIA/&#1046;&#1091;&#1088;&#1085;&#1072;&#1083;%20&#1085;&#1072;&#1095;&#1080;&#1089;&#1083;&#1077;&#1085;&#1080;&#1081;%20_DIA_Life%20CITI_OR_VTB_07m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civ-life.ru/Files/Actuarial/Reporting/2018/2018-01-31/&#1047;&#1072;&#1075;&#1088;&#1091;&#1079;&#1095;&#1080;&#1082;%20&#1057;&#1080;&#1042;/&#1054;&#1090;&#1095;&#1077;&#1090;&#1085;&#1086;&#1089;&#1090;&#1100;%20&#1045;&#1055;&#1057;/&#1046;&#1091;&#1088;&#1085;&#1072;&#1083;%20&#1091;&#1095;&#1077;&#1090;&#1072;%20&#1076;&#1086;&#1075;&#1086;&#1074;&#1086;&#1088;&#1086;&#1074;%20&#1089;&#1090;&#1088;&#1072;&#1093;&#1086;&#1074;&#1072;&#1085;&#1080;&#1103;%20(&#1076;&#1080;&#1072;&#1089;&#1086;&#1092;&#1090;%2003.01.2011%2014-15)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wmf-fs.sovcombank.group/bank-all/Users/demidovamn/Desktop/&#1056;&#1072;&#1073;&#1086;&#1095;&#1080;&#1077;%20&#1092;&#1072;&#1081;&#1083;&#1099;/&#1057;&#1050;&#1041;&#1046;/&#1052;&#1086;&#1076;&#1077;&#1083;&#1100;%20&#1076;&#1083;&#1103;%20&#1088;&#1072;&#1089;&#1095;&#1077;&#1090;&#1072;%20&#1087;&#1086;&#1090;&#1086;&#1082;&#1086;&#1074;/&#1054;&#1057;&#1041;&#1059;/&#1057;%20&#1088;&#1091;&#1089;&#1089;&#1082;&#1086;&#1075;&#1086;%20&#1085;&#1072;%20&#1083;&#1072;&#1090;&#1080;&#1085;&#1080;&#1094;&#109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civ-life.ru/Files/TAS/CFS/CFS/Tax_d/REALTY/JOBS/1Business%20Valuation/EVB/3.%20Client%20Data/9.%20&#1054;&#1057;%20&#1080;%20&#1053;&#1052;&#1040;/&#1054;&#1057;%20&#1085;&#1072;%2015.02.16%20&#1089;%20&#1080;&#1089;&#1087;&#1088;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civ-life.ru/Files/Users/tatyana.chernobrovin/AppData/Local/Microsoft/Windows/Temporary%20Internet%20Files/Content.Outlook/EPA8Y07M/1.%20Support/9.&#1054;&#1057;%20&#1080;%20&#1048;&#1057;/&#1087;%209_1%20&#1053;&#1077;&#1076;&#1074;&#1080;&#1078;&#1080;&#1084;&#1086;&#1089;&#1090;&#1100;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leksandr.Marchenko/AppData/Local/Microsoft/Windows/Temporary%20Internet%20Files/Content.Outlook/EER1MZ3N/13211755_Overdue%20Report_27021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ovcombank.group/fs/Users/Aleksandr.Marchenko/AppData/Local/Microsoft/Windows/Temporary%20Internet%20Files/Content.Outlook/EER1MZ3N/13211755_Overdue%20Report_270213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/Reporting/Common/2015/2Q%202015/June%202015%20HC/Overdue%20Report%20201408%20for%20wor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Saturn/data/Gaap%202002/&#1057;&#1084;&#1080;&#1088;&#1085;&#1086;&#1074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240%20Nostro%20accounts%20selection%20-%2031.12.2001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441%20Payroll%20tes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sovcombank.group/fs/Users/BukiterovaMY/AppData/Local/Microsoft/Windows/INetCache/Content.Outlook/IT5ODJ0D/WP%20&#1057;&#1050;+&#1057;&#1043;_2020%20(V2)_&#1086;&#1085;&#1083;&#1072;&#1081;&#1085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ralsibins.ru/Profiles/MSK01/Redirect/SolovevNV/Documents/WP/_ToDoTasks/&#1041;&#1102;&#1076;&#1078;&#1077;&#1090;%202021%20&#1046;&#1080;&#1079;&#1085;&#1100;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BukiterovaMY/AppData/Local/Microsoft/Windows/INetCache/Content.Outlook/IT5ODJ0D/WP%20&#1057;&#1050;+&#1057;&#1043;_2020%20(V2)_&#1086;&#1085;&#1083;&#1072;&#1081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al"/>
      <sheetName val="Acc 9000"/>
      <sheetName val="PL привлекающих"/>
      <sheetName val="Контрагенты_08"/>
      <sheetName val="Общая ОСВ_08"/>
      <sheetName val="Payroll RU MM"/>
      <sheetName val="71101"/>
      <sheetName val="Ge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ме"/>
      <sheetName val="Principal"/>
      <sheetName val="Satelli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срочки"/>
      <sheetName val="Svetla-Principal"/>
      <sheetName val="Sheet1"/>
      <sheetName val="Дог-Име"/>
      <sheetName val="Sheet3"/>
      <sheetName val="вноски"/>
      <sheetName val="Final"/>
      <sheetName val="pr-vat"/>
      <sheetName val="int"/>
      <sheetName val="int-vat"/>
      <sheetName val="razni"/>
      <sheetName val="overdue-clients"/>
      <sheetName val="exrosure-clients"/>
      <sheetName val="Sheet16"/>
      <sheetName val="Sheet19"/>
      <sheetName val="neplateni"/>
      <sheetName val="справки"/>
    </sheetNames>
    <sheetDataSet>
      <sheetData sheetId="0" refreshError="1">
        <row r="1">
          <cell r="A1" t="str">
            <v xml:space="preserve">Overdue payments as at 30.08.2002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_LANGUE"/>
      <sheetName val="SIG_VOCABLE"/>
      <sheetName val="Eckdaten"/>
      <sheetName val="GuV USGAAP"/>
      <sheetName val="Diagramm Ebit"/>
      <sheetName val="Ergebnis KA"/>
      <sheetName val="Bilanzkennzahlen"/>
      <sheetName val="Kommentar US GAAP"/>
      <sheetName val="LV nach Sparten"/>
      <sheetName val="SchUnfallV nach Sparten"/>
      <sheetName val="Mitarbeiter"/>
      <sheetName val="Kommentar Geschäft"/>
      <sheetName val="Dividenden HGB"/>
      <sheetName val="GuV HGB"/>
      <sheetName val="Kommentar HGB (local GAAP)"/>
      <sheetName val="SIG_Module1"/>
      <sheetName val="Anlage 1 zu TOP 2"/>
      <sheetName val="contract"/>
      <sheetName val="mortality"/>
      <sheetName val="cntrlist"/>
    </sheetNames>
    <sheetDataSet>
      <sheetData sheetId="0" refreshError="1">
        <row r="2">
          <cell r="G2">
            <v>0</v>
          </cell>
        </row>
        <row r="5">
          <cell r="A5" t="str">
            <v>rasi1</v>
          </cell>
          <cell r="B5" t="str">
            <v>3</v>
          </cell>
          <cell r="C5" t="str">
            <v>HDIWELT</v>
          </cell>
          <cell r="D5" t="str">
            <v xml:space="preserve"> </v>
          </cell>
          <cell r="E5" t="str">
            <v>C</v>
          </cell>
          <cell r="F5" t="str">
            <v xml:space="preserve"> </v>
          </cell>
          <cell r="G5" t="str">
            <v>EUR</v>
          </cell>
          <cell r="H5" t="str">
            <v xml:space="preserve"> </v>
          </cell>
          <cell r="I5" t="str">
            <v xml:space="preserve"> </v>
          </cell>
          <cell r="J5" t="str">
            <v xml:space="preserve"> </v>
          </cell>
          <cell r="K5" t="str">
            <v xml:space="preserve"> </v>
          </cell>
          <cell r="L5" t="str">
            <v>IST_DEC2000</v>
          </cell>
          <cell r="M5" t="str">
            <v xml:space="preserve"> </v>
          </cell>
          <cell r="N5" t="str">
            <v>F99</v>
          </cell>
          <cell r="O5" t="str">
            <v xml:space="preserve"> </v>
          </cell>
        </row>
        <row r="6">
          <cell r="A6" t="str">
            <v>RKAKT</v>
          </cell>
          <cell r="B6" t="str">
            <v>Reporting Assets Konzern</v>
          </cell>
          <cell r="C6" t="str">
            <v>0</v>
          </cell>
          <cell r="D6" t="str">
            <v xml:space="preserve"> </v>
          </cell>
          <cell r="I6" t="str">
            <v xml:space="preserve"> </v>
          </cell>
          <cell r="L6" t="str">
            <v>IST_DEC2000</v>
          </cell>
          <cell r="M6" t="str">
            <v>IST</v>
          </cell>
          <cell r="N6" t="str">
            <v>DEC2000</v>
          </cell>
          <cell r="O6" t="str">
            <v>KONS</v>
          </cell>
        </row>
        <row r="7">
          <cell r="L7" t="str">
            <v>IST</v>
          </cell>
        </row>
        <row r="8">
          <cell r="L8" t="str">
            <v>DEC2000</v>
          </cell>
        </row>
        <row r="9">
          <cell r="L9" t="str">
            <v>2000</v>
          </cell>
        </row>
        <row r="10">
          <cell r="L10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XLRpt_TempSheet"/>
      <sheetName val="GAAP 0302"/>
      <sheetName val="XREF"/>
      <sheetName val="2.4"/>
      <sheetName val="2.1"/>
      <sheetName val="2.5"/>
      <sheetName val="2.10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3">
          <cell r="B13" t="str">
            <v>по состоянию на 01.05.2002 года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R_NoRangeSheet"/>
    </sheetNames>
    <sheetDataSet>
      <sheetData sheetId="0"/>
      <sheetData sheetId="1">
        <row r="6">
          <cell r="B6" t="str">
            <v>31.08.2015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R_NoRangeSheet"/>
      <sheetName val="main"/>
    </sheetNames>
    <sheetDataSet>
      <sheetData sheetId="0"/>
      <sheetData sheetId="1">
        <row r="6">
          <cell r="B6" t="str">
            <v>01.01.2008 - 01.08.2011</v>
          </cell>
          <cell r="C6" t="str">
            <v>01.01.2008 - 31.12.9999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 mon 2014 FC"/>
      <sheetName val="Иванов_PA"/>
      <sheetName val="статистика"/>
      <sheetName val="общий журнал"/>
      <sheetName val="выгрузка из Диасофта"/>
      <sheetName val="Pivot"/>
      <sheetName val="XLR_NoRangeSheet"/>
      <sheetName val="Лист2"/>
      <sheetName val="Pivot (2)"/>
      <sheetName val="исключенные из журнала June HC"/>
      <sheetName val="для GWP"/>
      <sheetName val="Лист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B6" t="str">
            <v>Дата выгрузки отчета: 01.10.2014</v>
          </cell>
          <cell r="C6" t="str">
            <v>Страховые продукты: PA - Individual plan 1, PA - Individual plan 3, PA - Family plan 4, PA - Individual plan 4, PA - Family plan 3, PA - Individual+Children plan 3, PA - Individual+Children plan 4, PA2 - Family plan 1_POS, PA2 - Family plan 1_TS, PA2 - Family plan 2_POS, PA2 - Family plan 2_TS, PA2 - Family plan 4_POS, PA2 - Family plan 4_TS, PA2 - Individual plan 1_POS, PA2 - Individual plan 1_TS, PA2 - Individual plan 2_POS, PA2 - Individual plan 2_TS, PA2 - Individual plan 4_POS, PA2 - Individual plan 4_TS, PA - Individual+Children plan 1, PA - Individual plan 2, PA - Individual+Children plan 2, PA - Family plan 2, PA - Family plan 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 mon 2014 FC"/>
      <sheetName val="Иванов_PA"/>
      <sheetName val="статистика"/>
      <sheetName val="общий журнал"/>
      <sheetName val="выгрузка из Диасофта"/>
      <sheetName val="Pivot"/>
      <sheetName val="XLR_NoRangeSheet"/>
      <sheetName val="Лист2"/>
      <sheetName val="Pivot (2)"/>
      <sheetName val="исключенные из журнала June HC"/>
      <sheetName val="для GWP"/>
      <sheetName val="Лист3"/>
    </sheetNames>
    <sheetDataSet>
      <sheetData sheetId="0">
        <row r="6">
          <cell r="L6">
            <v>93199273.199999437</v>
          </cell>
        </row>
      </sheetData>
      <sheetData sheetId="1">
        <row r="3">
          <cell r="O3">
            <v>269216.43039200001</v>
          </cell>
        </row>
      </sheetData>
      <sheetData sheetId="2">
        <row r="18">
          <cell r="B18">
            <v>23524680</v>
          </cell>
        </row>
      </sheetData>
      <sheetData sheetId="3"/>
      <sheetData sheetId="4"/>
      <sheetData sheetId="5"/>
      <sheetData sheetId="6">
        <row r="6">
          <cell r="B6" t="str">
            <v>Дата выгрузки отчета: 01.10.2014</v>
          </cell>
          <cell r="C6" t="str">
            <v>Страховые продукты: PA - Individual plan 1, PA - Individual plan 3, PA - Family plan 4, PA - Individual plan 4, PA - Family plan 3, PA - Individual+Children plan 3, PA - Individual+Children plan 4, PA2 - Family plan 1_POS, PA2 - Family plan 1_TS, PA2 - Family plan 2_POS, PA2 - Family plan 2_TS, PA2 - Family plan 4_POS, PA2 - Family plan 4_TS, PA2 - Individual plan 1_POS, PA2 - Individual plan 1_TS, PA2 - Individual plan 2_POS, PA2 - Individual plan 2_TS, PA2 - Individual plan 4_POS, PA2 - Individual plan 4_TS, PA - Individual+Children plan 1, PA - Individual plan 2, PA - Individual+Children plan 2, PA - Family plan 2, PA - Family plan 1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lt; 2007"/>
      <sheetName val="&gt;= 2007"/>
      <sheetName val="MIB"/>
      <sheetName val="Data_all"/>
      <sheetName val="XLR_NoRangeSheet"/>
    </sheetNames>
    <sheetDataSet>
      <sheetData sheetId="0"/>
      <sheetData sheetId="1"/>
      <sheetData sheetId="2"/>
      <sheetData sheetId="3"/>
      <sheetData sheetId="4">
        <row r="6">
          <cell r="B6">
            <v>44804.469918981478</v>
          </cell>
          <cell r="C6" t="str">
            <v>01.01.1995 - 31.08.2022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R_NoRangeSheet"/>
      <sheetName val="Журнал начислений _DIA_Life CIT"/>
    </sheetNames>
    <sheetDataSet>
      <sheetData sheetId="0">
        <row r="1">
          <cell r="O1"/>
        </row>
      </sheetData>
      <sheetData sheetId="1">
        <row r="6">
          <cell r="B6" t="str">
            <v>01.01.2020 - 31.07.2020</v>
          </cell>
          <cell r="C6" t="str">
            <v>Citi Comfort+ (EUR) [19], Citi Comfort+ (RUB), Citi Comfort (EUR) [17], Citi Comfort (RUB), Citi Comfort+ (EUR) [17], Citi Comfort+ Single (EUR), Citi Comfort Single (EUR), Citi Comfort+ Single (EUR) [17], Citi Comfort Single (EUR) [17], Citi Comfort+ Single (RUB), Citi Comfort Single (RUB), Citi Comfort+ Single (RUB) [19], Citi Comfort Single (RUB) [19], Citi Comfort+ Single (USD), Citi Comfort Single (USD), Citi Comfort+ Single (USD) [17], Citi Comfort Single (USD) [17], Citi Comfort+ Single (USD) [18], Citi Comfort+ Single (USD) [19], Citi Comfort Single (USD) [19], Citi Comfort+ (USD), Citi Comfort (USD), Citi Comfort+ (USD) [17], Citi Comfort (USD) [17], Citi Comfort+ (USD) [19], Citi Comfort (USD) [19], Citi Health+ (EUR), Citi Health+ (EUR) [17], Citi Health+ (EUR) [18], Citi Health+ (EUR) [19], Citi Health+ Single (EUR) [18], Citi Health+ Single (USD) [18], Citi Health+ (USD), Citi Health+ (USD) [17], Citi Health+ (USD) [18], Citi Health+ (USD) [19], Citi Kids+ (EUR), Citi Kids (EUR), Citi Kids+ (EUR) [17], Citi Kids (EUR) [17], Citi Kids (EUR) [19], Citi Kids+ (RUB), Citi Kids (RUB), Citi Kids+ (RUB) [19], Citi Kids (RUB) [19], Citi Kids Single (EUR), Citi Kids Single (EUR) [17], Citi Kids Single (RUB), Citi Kids Single (RUB) [19], Citi Kids Single (USD), Citi Kids Single (USD) [17], Citi Kids Single (USD) [19], Citi Kids+ (USD), Citi Kids (USD), Citi Kids+ (USD) [17], Citi Kids (USD) [17], Citi Kids+ (USD) [18], Citi Kids+ (USD) [19], Citi Kids (USD) [19], Citi Kopilka, Citi Premium (EUR), Citi Premium (EUR) [17], Citi Premium (EUR) [19], Citi Premium (RUB), Citi Premium (RUB) [19], Citi Premium Single (EUR), Citi Premium Single (EUR) [17], Citi Premium Single (RUB), Citi Premium Single (RUB) [19], Citi Premium Single (USD), Citi Premium Single (USD) [17], Citi Premium Single (USD) [19], Citi Premium (USD), Citi Premium (USD) [17], Citi Premium (USD) [19], Home Citi Comfort + (EUR), Home Citi Comfort + (EUR)[18], Home Citi Comfort + (EUR)[19], Home Citi Comfort + (RUB), Home Citi Comfort + (RUB)[19], Home Citi Comfort + Single (EUR), Home Citi Comfort + Single (EUR)[18], Home Citi Comfort + Single (EUR)[19], Home Citi Comfort + Single (RUB), Home Citi Comfort + Single (RUB)[19], Home Citi Comfort + Single (USD), Home Citi Comfort + Single (USD)[18], Home Citi Comfort + Single (USD)[19], Home Citi Comfort + (USD), Home Citi Comfort + (USD)[18], Home Citi Comfort + (USD)[19], Home Citi Comfort (EUR), Home Citi Comfort (EUR)[18], Home Citi Comfort (EUR)[19], Home Citi Comfort (RUB), Home Citi Comfort (RUB)[19], Home Citi Comfort Single (EUR), Home Citi Comfort Single (EUR)[18], Home Citi Comfort Single (EUR)[19], Home Citi Comfort Single (RUB), Home Citi Comfort Single (RUB)[19], Home Citi Comfort Single (USD), Home Citi Comfort Single (USD)[18], Home Citi Comfort Single (USD)[19], Home Citi Comfort (USD), Home Citi Comfort (USD)[18], Home Citi Comfort (USD)[19], Home Citi Kids+ (EUR), Home Citi Kids (EUR), Home Citi Kids+ (EUR)[18], Home Citi Kids (EUR)[18], Home Citi Kids+ (EUR)[19], Home Citi Kids (EUR)[19], Home Citi Kids+ (RUB), Home Citi Kids (RUB), Home Citi Kids+ (RUB)[19], Home Citi Kids (RUB)[19], Home Citi Kids Single (EUR), Home Citi Kids Single (EUR)[18], Home Citi Kids Single (EUR)[19], Home Citi Kids Single (RUB), Home Citi Kids Single (RUB)[19], Home Citi Kids Single (USD), Home Citi Kids Single (USD)[18], Home Citi Kids Single (USD)[19], Home Citi Kids+ (USD), Home Citi Kids (USD), Home Citi Kids+ (USD)[18], Home Citi Kids (USD)[18], Home Citi Kids+ (USD)[19], Home Citi Kids (USD)[19], Home Citi Kopilka, Home Citi Premium (EUR), Home Citi Premium (EUR)[18], Home Citi Premium (EUR)[19], Home Citi Premium (RUB), Home Citi Premium (RUB)[19], Home Citi Premium Single (EUR), Home Citi Premium Single (EUR)[18], Home Citi Premium Single (EUR)[19], Home Citi Premium Single (RUB), Home Citi Premium Single (RUB)[19], Home Citi Premium Single (USD), Home Citi Premium Single (USD)[18], Home Citi Premium Single (USD)[19], Home Citi Premium (USD), Home Citi Premium (USD)[18], Home Citi Premium (USD)[19], Orange Comfort (RUB), Orange Comfort (USD), Orange Premium (RUB), Unit linked, Unit linked +, Unit Linked Balanced Portfolio Index 3 (RUB), Unit Linked Balanced Portfolio Index 5 (RUB), Unit Linked Balanced Portfolio Index 7 (USD), Unit Linked Balanced Portfolio Index 7 (USD) , Unit Linked Blockchain 3 (RUB), Unit Linked Blockchain 5 (RUB), Unit Linked Blockchain 7 (USD), Unit Linked Business cycles 5 (RUB), Unit Linked DTrends, Unit Linked Future Super Trends 3 (RUB), Unit Linked Future Super Trends 5 (RUB), Unit Linked Future Super Trends 7 (USD), Unit Linked GFIF, Unit linked UC (MUL), Unit linked UC (RUR), Unit linked UC (USD), Unit Linked (USD) [17], Unit linked VTB (MUL), Unit Linked 90 ES vs SnP 3 (RUB), Unit Linked 90 ES vs SnP 5 (RUB), Unit Linked 90 ES vs SnP 7 (USD), VTB Comfort+ Single (EUR), VTB Comfort+ Single (USD), VTB Comfort Single (USD), VTB Comfort+ (USD), VTB Comfort (USD), VTB Health+ (EUR), VTB Health+ (EUR) [19], VTB Health+ Single (EUR) [19], VTB Health+ Single (USD) [19], VTB Health+ (USD), VTB Health+ (USD) [19], VTB Kids+ (EUR), VTB Kids+ (RUB), VTB Kids (RUB), VTB Kids+ (USD), VTB Kids (USD), VTB Premium (USD), Citi Comfort+ (RUB) [19], Citi Comfort (EUR) [19], Citi Comfort (RUB) [19], Citi Comfort (EUR), Citi Comfort+ (EUR)</v>
          </cell>
          <cell r="D6" t="str">
            <v>Все</v>
          </cell>
          <cell r="E6" t="str">
            <v>Все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soft"/>
      <sheetName val="XLR_NoRangeSheet"/>
      <sheetName val="bbb"/>
      <sheetName val="single"/>
      <sheetName val="regular"/>
    </sheetNames>
    <sheetDataSet>
      <sheetData sheetId="0"/>
      <sheetData sheetId="1">
        <row r="6">
          <cell r="B6" t="str">
            <v>01.01.2008 - 01.01.2012</v>
          </cell>
          <cell r="C6" t="str">
            <v>All</v>
          </cell>
          <cell r="D6" t="str">
            <v>All</v>
          </cell>
        </row>
      </sheetData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авычки"/>
      <sheetName val="Agents"/>
      <sheetName val="XLR_NoRange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XLR_NoRangeSheet"/>
    </sheetNames>
    <sheetDataSet>
      <sheetData sheetId="0">
        <row r="4709">
          <cell r="G4709">
            <v>4674</v>
          </cell>
        </row>
      </sheetData>
      <sheetData sheetId="1">
        <row r="6">
          <cell r="J6" t="str">
            <v>МОЛ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Лист2"/>
      <sheetName val="XLR_NoRangeSheet"/>
      <sheetName val="Sheet1"/>
      <sheetName val="Аренда"/>
    </sheetNames>
    <sheetDataSet>
      <sheetData sheetId="0">
        <row r="2">
          <cell r="AN2">
            <v>68331692.268090934</v>
          </cell>
        </row>
      </sheetData>
      <sheetData sheetId="1" refreshError="1"/>
      <sheetData sheetId="2">
        <row r="6">
          <cell r="I6" t="str">
            <v>Размещение</v>
          </cell>
        </row>
      </sheetData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R_NoRangeSheet"/>
    </sheetNames>
    <sheetDataSet>
      <sheetData sheetId="0" refreshError="1"/>
      <sheetData sheetId="1">
        <row r="6">
          <cell r="B6" t="str">
            <v>31.12.2013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R_NoRangeSheet"/>
    </sheetNames>
    <sheetDataSet>
      <sheetData sheetId="0" refreshError="1"/>
      <sheetData sheetId="1">
        <row r="6">
          <cell r="B6" t="str">
            <v>31.12.2013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Отчет о доставке"/>
      <sheetName val="XLR_NoRangeSheet"/>
    </sheetNames>
    <sheetDataSet>
      <sheetData sheetId="0" refreshError="1"/>
      <sheetData sheetId="1" refreshError="1"/>
      <sheetData sheetId="2" refreshError="1">
        <row r="6">
          <cell r="C6" t="str">
            <v>16.08.2014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рансформация1"/>
      <sheetName val="Предварит_баланс 9 мес"/>
      <sheetName val="Предварит_баланс 3 мес"/>
      <sheetName val="Предварит_баланс 6 мес"/>
      <sheetName val="Предварит_баланс"/>
      <sheetName val="Balance_PL"/>
      <sheetName val="ОС"/>
      <sheetName val="Adj 1"/>
      <sheetName val="Adj 2"/>
      <sheetName val="+для Кэша"/>
      <sheetName val="Accrual Tracking"/>
      <sheetName val="A5 SAD turn around affect"/>
      <sheetName val="Продажи реальные и прогноз 20 л"/>
      <sheetName val="XLR_NoRangeSheet"/>
      <sheetName val="03.Справочники"/>
      <sheetName val="data"/>
      <sheetName val="Tickmarks"/>
      <sheetName val="Rollforward"/>
      <sheetName val="Баланс"/>
      <sheetName val="A"/>
      <sheetName val=" 8230.07+"/>
      <sheetName val="8230.06+"/>
      <sheetName val="хранение 8230.08+"/>
      <sheetName val="NewCashFlow"/>
      <sheetName val="Mapping"/>
      <sheetName val="BS"/>
      <sheetName val="Lead"/>
      <sheetName val="Смирнов1"/>
      <sheetName val="Adj2002"/>
      <sheetName val="Client"/>
      <sheetName val="AJE 2002"/>
      <sheetName val="D&amp;T'02"/>
      <sheetName val="AJEs"/>
      <sheetName val="RAS P&amp;L"/>
      <sheetName val="Other taxes"/>
      <sheetName val="VAT"/>
      <sheetName val="VAT reconciliation"/>
      <sheetName val="Справочник"/>
      <sheetName val="FX3112"/>
      <sheetName val="Sub group code &amp; Name"/>
      <sheetName val="осв ОАО (2)"/>
      <sheetName val="Предварит_баланс_9_мес"/>
      <sheetName val="Предварит_баланс_3_мес"/>
      <sheetName val="Предварит_баланс_6_мес"/>
      <sheetName val="Adj_1"/>
      <sheetName val="Adj_2"/>
      <sheetName val="+для_Кэша"/>
      <sheetName val="_8230_07+"/>
      <sheetName val="8230_06+"/>
      <sheetName val="хранение_8230_08+"/>
      <sheetName val="A5_SAD_turn_around_affect"/>
      <sheetName val="Продажи_реальные_и_прогноз_20_л"/>
      <sheetName val="Sub_group_code_&amp;_Name"/>
      <sheetName val="осв_ОАО_(2)"/>
      <sheetName val="AJE_2002"/>
      <sheetName val="RAS_P&amp;L"/>
      <sheetName val="Other_taxes"/>
      <sheetName val="VAT_reconciliation"/>
      <sheetName val="Accrual_Tracking"/>
      <sheetName val="Базы"/>
      <sheetName val="+5610.04"/>
      <sheetName val="5930.01"/>
      <sheetName val="Breakdown AR"/>
      <sheetName val="gen_cr_01"/>
      <sheetName val="card_01"/>
      <sheetName val="Предварит_баланс_9_мес1"/>
      <sheetName val="Предварит_баланс_3_мес1"/>
      <sheetName val="Предварит_баланс_6_мес1"/>
      <sheetName val="Adj_11"/>
      <sheetName val="Adj_21"/>
      <sheetName val="+для_Кэша1"/>
      <sheetName val="_8230_07+1"/>
      <sheetName val="8230_06+1"/>
      <sheetName val="хранение_8230_08+1"/>
      <sheetName val="A5_SAD_turn_around_affect1"/>
      <sheetName val="Продажи_реальные_и_прогноз_20_1"/>
      <sheetName val="Sub_group_code_&amp;_Name1"/>
      <sheetName val="осв_ОАО_(2)1"/>
      <sheetName val="AJE_20021"/>
      <sheetName val="RAS_P&amp;L1"/>
      <sheetName val="Other_taxes1"/>
      <sheetName val="VAT_reconciliation1"/>
      <sheetName val="Accrual_Tracking1"/>
      <sheetName val="03_Справочники"/>
      <sheetName val="625_626_2"/>
      <sheetName val="Balances"/>
      <sheetName val="Tax breakdown"/>
      <sheetName val="breakdown"/>
      <sheetName val="Справочники"/>
      <sheetName val="7-д ч.1"/>
      <sheetName val="7-д_ч_1"/>
      <sheetName val="Содержание"/>
      <sheetName val="Non-Statistical Sampling Master"/>
      <sheetName val="Two Step Revenue Testing Master"/>
      <sheetName val="SAD"/>
      <sheetName val="INFLOW"/>
      <sheetName val="GRAPHS"/>
      <sheetName val="7-д_ч_11"/>
      <sheetName val="Юр.лица"/>
      <sheetName val="Подразделения"/>
      <sheetName val="lookups"/>
      <sheetName val="Lists"/>
      <sheetName val="Overdrafts"/>
      <sheetName val="CE"/>
      <sheetName val="P&amp;L"/>
      <sheetName val="Процедуры из библиотеки"/>
      <sheetName val="IFRS LS 2018"/>
      <sheetName val="Adjustment_2018"/>
      <sheetName val="Sources &gt;&gt;"/>
      <sheetName val="Adj RZAS"/>
      <sheetName val="Adj RZ"/>
      <sheetName val="Population 44_26"/>
      <sheetName val="TB 2018"/>
      <sheetName val="ERP"/>
      <sheetName val="Test Opex"/>
      <sheetName val="Agreegation"/>
      <sheetName val="Adj Farm"/>
      <sheetName val="IFRS LS 2017"/>
      <sheetName val="мероприятия "/>
      <sheetName val="Дочерние"/>
      <sheetName val="Список Подразделений"/>
      <sheetName val="XREF"/>
      <sheetName val="OLD_SV"/>
      <sheetName val="612"/>
      <sheetName val="List"/>
      <sheetName val="Projects"/>
      <sheetName val="MTS - debt issuance cost"/>
      <sheetName val="Предварит_баланс_9_мес2"/>
      <sheetName val="Предварит_баланс_3_мес2"/>
      <sheetName val="Предварит_баланс_6_мес2"/>
      <sheetName val="Adj_12"/>
      <sheetName val="Adj_22"/>
      <sheetName val="+для_Кэша2"/>
      <sheetName val="_8230_07+2"/>
      <sheetName val="8230_06+2"/>
      <sheetName val="хранение_8230_08+2"/>
      <sheetName val="A5_SAD_turn_around_affect2"/>
      <sheetName val="Продажи_реальные_и_прогноз_20_2"/>
      <sheetName val="AJE_20022"/>
      <sheetName val="RAS_P&amp;L2"/>
      <sheetName val="Other_taxes2"/>
      <sheetName val="VAT_reconciliation2"/>
      <sheetName val="+5610_04"/>
      <sheetName val="Tax_breakdown"/>
      <sheetName val="5930_01"/>
      <sheetName val="Breakdown_AR"/>
      <sheetName val="Non-Statistical_Sampling_Master"/>
      <sheetName val="Two_Step_Revenue_Testing_Master"/>
      <sheetName val="Excel"/>
      <sheetName val="Template"/>
      <sheetName val="Adjustment schedule"/>
      <sheetName val="Результаты"/>
      <sheetName val="Info"/>
      <sheetName val="WPCalc_Сapex&amp;Depr"/>
      <sheetName val="North"/>
      <sheetName val="Б130-1(1)"/>
      <sheetName val="13.1"/>
      <sheetName val="Шкаф"/>
      <sheetName val="Смета"/>
      <sheetName val="Коэфф1."/>
      <sheetName val="Прайс лист"/>
      <sheetName val="Лист1"/>
      <sheetName val="топография"/>
      <sheetName val="свод 2"/>
      <sheetName val="Calc"/>
      <sheetName val="Амур ДОН"/>
      <sheetName val="Дополнительные параметры"/>
      <sheetName val="Лист2"/>
      <sheetName val="Прибыль опл"/>
      <sheetName val="sapactivexlhiddensheet"/>
      <sheetName val="УП _2004"/>
      <sheetName val="total"/>
      <sheetName val="Комплектация"/>
      <sheetName val="трубы"/>
      <sheetName val="СМР"/>
      <sheetName val="дороги"/>
      <sheetName val="топо"/>
      <sheetName val="Итог"/>
      <sheetName val="КП (2)"/>
      <sheetName val="ПДР"/>
      <sheetName val="исходные данные"/>
      <sheetName val="расчетные таблицы"/>
      <sheetName val="ИД"/>
      <sheetName val="MAP"/>
      <sheetName val="саратов (2)"/>
      <sheetName val="RENT ROLL CHECK"/>
      <sheetName val="Отдела для Лимитов"/>
      <sheetName val="Регион"/>
      <sheetName val="Должности"/>
      <sheetName val="Rollforward ST"/>
      <sheetName val="Additions 2002"/>
      <sheetName val="Deprec"/>
      <sheetName val="Reconciliation"/>
      <sheetName val="Rollfwd"/>
      <sheetName val="Свод"/>
      <sheetName val="Источники&gt;&gt;&gt;"/>
      <sheetName val="ОСВ 66-67 2018"/>
      <sheetName val="Дз-Кз"/>
      <sheetName val="ОСВ"/>
      <sheetName val="Эфф. ставка"/>
      <sheetName val="КЗ"/>
      <sheetName val="Векселя&gt;&gt;&gt;"/>
      <sheetName val="Вексель РТТ-ЮХ 10.16 ч1"/>
      <sheetName val="Вексель РТТ-ЮХ 10.16 ч2"/>
      <sheetName val="Вексель Поляны-ТТ транс"/>
      <sheetName val="Вексель Поляны-ЮХ 28.10"/>
      <sheetName val="Вексель Поляны-ЮХ 02.07"/>
      <sheetName val="Вексель Поляны-ЮХ 03.06"/>
      <sheetName val="Вексель Поляны-ЮХ 13.07"/>
      <sheetName val="Уступки&gt;&gt;&gt;"/>
      <sheetName val="ТТ -ЮХ уступка"/>
      <sheetName val="Уступка РТЗ - КМП ч1"/>
      <sheetName val="Уступка РТЗ - КМП ч2"/>
      <sheetName val="Займы&gt;&gt;&gt;"/>
      <sheetName val="Займ получ. Л-ЮХ 138|11"/>
      <sheetName val="Займ получ. Л-ЮХ от 01.07"/>
      <sheetName val="Займ получ. РТЗ-ЮХ 121|11"/>
      <sheetName val="Займ получ. РТЗ-ЮХ 136|11"/>
      <sheetName val="Займ получ. ЮХ-88"/>
      <sheetName val="Займ получ. РТТ-ЮХ 20.16"/>
      <sheetName val="Карточка счета РТТ"/>
      <sheetName val="Займ РТТ-ЮХ 20|16-карточка"/>
      <sheetName val="Займ получ. ЮХ-88-карточка"/>
      <sheetName val="ETRS"/>
      <sheetName val="summary"/>
      <sheetName val="Payroll"/>
      <sheetName val="Sheet1"/>
      <sheetName val="Inputs"/>
      <sheetName val="Sales Testing"/>
      <sheetName val="Sales Brdwn 9m 2006"/>
      <sheetName val="MTS Finance elim"/>
      <sheetName val="BS&amp;PL Summary"/>
      <sheetName val="Changes 3Q-2Q"/>
      <sheetName val="Ico_for_consolidation_2Q_06"/>
      <sheetName val="Лист"/>
      <sheetName val="Список 1 кв."/>
      <sheetName val="оборудование"/>
      <sheetName val="cus_HK1033"/>
      <sheetName val="Справочники таблиц"/>
      <sheetName val=" "/>
      <sheetName val="VKPM"/>
      <sheetName val="Note"/>
      <sheetName val="Taxes &amp; Deductions"/>
      <sheetName val="Balance Sheet"/>
      <sheetName val="Leasing"/>
      <sheetName val="Grouplist"/>
      <sheetName val="Параметры"/>
      <sheetName val="Dealing &amp; AFS"/>
      <sheetName val="Directory"/>
      <sheetName val="FA rollforward Bank"/>
      <sheetName val="INPUT ac. balances HERE!"/>
      <sheetName val="TPSA_Model"/>
      <sheetName val="Production&amp;Sales"/>
      <sheetName val="Codes"/>
      <sheetName val="Тех. лист"/>
      <sheetName val="программа"/>
      <sheetName val="тех данные"/>
      <sheetName val="ВГР активы"/>
      <sheetName val="Parameters"/>
      <sheetName val="Proforma"/>
      <sheetName val="Assumptions"/>
      <sheetName val="CSCCincSKR"/>
      <sheetName val="CF"/>
      <sheetName val="HC_ppt"/>
      <sheetName val="PFC-PYX1"/>
      <sheetName val="фа"/>
      <sheetName val="фаOIBDA"/>
      <sheetName val="данные для графика"/>
      <sheetName val="current_balance"/>
      <sheetName val="MAIN"/>
      <sheetName val="Definitions"/>
      <sheetName val="REPORT"/>
      <sheetName val="SENSITIVITY"/>
      <sheetName val="Бюджет"/>
      <sheetName val="PNL"/>
      <sheetName val="Структура расходов"/>
      <sheetName val="Ф.2"/>
      <sheetName val="Актив"/>
      <sheetName val="InpC"/>
      <sheetName val="Gen"/>
      <sheetName val="&lt;&lt;&lt;EXHIBITS&gt;&gt;&gt;"/>
      <sheetName val="Список"/>
      <sheetName val="Расчет VAS (руб.)"/>
      <sheetName val="#ССЫЛКА"/>
      <sheetName val="ф.29мес."/>
      <sheetName val="CREDIT STATS"/>
      <sheetName val="Статьи затрат и ЦФО"/>
      <sheetName val="Assum"/>
      <sheetName val="Таблица"/>
      <sheetName val="17.Налог"/>
      <sheetName val="Списки"/>
      <sheetName val="макропараметры"/>
      <sheetName val="Service"/>
      <sheetName val="Настройка"/>
      <sheetName val="RSOILBAL"/>
      <sheetName val="БК"/>
      <sheetName val="INPUT EXPENSES"/>
      <sheetName val="Шаблоны"/>
      <sheetName val="Списки_и_цели"/>
      <sheetName val="Описание_полей_и_показателей"/>
      <sheetName val="ИЗ-2016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Удм-3"/>
      <sheetName val="Удм-1"/>
      <sheetName val="Удм-2"/>
      <sheetName val="Ф-2 ЮССС"/>
      <sheetName val="Ф-1 ЮССС"/>
      <sheetName val="Лист4"/>
      <sheetName val="Списки_и_цели_МТС_РФ"/>
      <sheetName val="Dropdown list"/>
      <sheetName val="вид"/>
      <sheetName val="проект - отдел"/>
      <sheetName val="инфо"/>
      <sheetName val="Лист6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Контрагенты"/>
      <sheetName val="Статьи"/>
      <sheetName val="Сотрудники"/>
      <sheetName val="станция_Обьект"/>
      <sheetName val="Справочник ЦФО"/>
      <sheetName val="Факторы"/>
      <sheetName val="Номенклатура"/>
      <sheetName val="Lib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Графики"/>
      <sheetName val="Cправочник"/>
      <sheetName val="DIR"/>
      <sheetName val="help"/>
      <sheetName val="I_ЗДМ_Процессы_операции"/>
      <sheetName val="Brif_zdanie"/>
      <sheetName val="реестр_платежей"/>
      <sheetName val="Доходы_revenue + затраты"/>
      <sheetName val="ДДС"/>
      <sheetName val="ДЗО"/>
      <sheetName val="Лист3"/>
      <sheetName val="Нормативы_К"/>
      <sheetName val="01"/>
      <sheetName val="Методология"/>
      <sheetName val="Коды"/>
      <sheetName val="Tech"/>
      <sheetName val="Source"/>
      <sheetName val="Serv"/>
      <sheetName val="ЦФО_New"/>
      <sheetName val="Спр"/>
      <sheetName val="перечень статей затрат PNL"/>
      <sheetName val="ЦФО"/>
      <sheetName val="Справочник БКВ"/>
      <sheetName val="ТехСписки"/>
      <sheetName val="Код"/>
      <sheetName val="Филии"/>
      <sheetName val="МР"/>
      <sheetName val="Дата"/>
      <sheetName val="АТСи"/>
      <sheetName val="Специфікація"/>
      <sheetName val="Список спец. критериев"/>
      <sheetName val="справочник магазинов"/>
      <sheetName val="ИНДЕКСЫ"/>
      <sheetName val="Структура_расходов"/>
      <sheetName val="данные_для_графика"/>
      <sheetName val="Ф_2"/>
      <sheetName val="ф_29мес_"/>
      <sheetName val="CREDIT_STATS"/>
      <sheetName val="Расчет_VAS_(руб_)"/>
      <sheetName val="17_Налог"/>
      <sheetName val="Статьи_затрат_и_ЦФО"/>
      <sheetName val="Ф-2_ЮССС"/>
      <sheetName val="Ф-1_ЮССС"/>
      <sheetName val="INPUT_EXPENSES"/>
      <sheetName val="Статьи_БДДС"/>
      <sheetName val="Справочник_статей"/>
      <sheetName val="Прайс_Лист"/>
      <sheetName val="Dropdown_list"/>
      <sheetName val="проект_-_отдел"/>
      <sheetName val="ВГО"/>
      <sheetName val="КФ"/>
      <sheetName val="Revenue_comp"/>
      <sheetName val="Таксономия"/>
      <sheetName val="Статьи ДДС 2017"/>
      <sheetName val="Стать БУ"/>
      <sheetName val="счета  БУ"/>
      <sheetName val="BS PR"/>
      <sheetName val="Справочник статей БУ "/>
      <sheetName val="MPP"/>
      <sheetName val="ГК Элемент (ВГО)"/>
      <sheetName val="Курс валют на___"/>
      <sheetName val="организации"/>
      <sheetName val="Проекты"/>
      <sheetName val="DIN"/>
      <sheetName val="шаблон"/>
      <sheetName val="Share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Filters"/>
      <sheetName val="Квартал"/>
      <sheetName val="DLL"/>
      <sheetName val="ИСХОДНИК"/>
      <sheetName val="база"/>
      <sheetName val="Titles"/>
      <sheetName val="Sheet2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правочно"/>
      <sheetName val="Справочник БДР"/>
      <sheetName val="Справочник ДДС"/>
      <sheetName val="Справочник код ИП"/>
      <sheetName val="Лимиты"/>
      <sheetName val="Библиотека"/>
      <sheetName val="Питер"/>
      <sheetName val="Feuil2"/>
      <sheetName val="Bridge_2009-2011_Corporate"/>
      <sheetName val="Langues"/>
      <sheetName val="2_1_1_-_Assumptions"/>
      <sheetName val="Retrofit1"/>
      <sheetName val="Blad1"/>
      <sheetName val="Bf3p1"/>
      <sheetName val="DTF_drop down list"/>
      <sheetName val="Resumen"/>
      <sheetName val="ИС"/>
      <sheetName val="Статьи ПГСО"/>
      <sheetName val="9 стрим"/>
      <sheetName val="Филиалы"/>
      <sheetName val="Перечень ИТ-систем"/>
      <sheetName val="Список БП"/>
      <sheetName val="Data pour menu déroulant"/>
      <sheetName val="БC"/>
      <sheetName val="ТехДанные"/>
      <sheetName val="ppt"/>
      <sheetName val="1999"/>
      <sheetName val="sample"/>
      <sheetName val="Arbitrage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Справочник-new_2"/>
      <sheetName val="Список_действ_клиент_договор"/>
      <sheetName val="РПУ"/>
      <sheetName val="Категории"/>
      <sheetName val="Производственная функция"/>
      <sheetName val="Программа "/>
      <sheetName val="5630.02+"/>
      <sheetName val="adj_10_1Q"/>
      <sheetName val="adj_2010"/>
      <sheetName val="adj_09"/>
      <sheetName val="ОСВ'10"/>
      <sheetName val="311210"/>
      <sheetName val="310310"/>
      <sheetName val="Нормативы"/>
      <sheetName val="Sheet3"/>
      <sheetName val="Dashboard"/>
      <sheetName val="Системный"/>
      <sheetName val="DB"/>
      <sheetName val=" + ОСВ 43"/>
      <sheetName val="Рук-ство по зап-ю"/>
      <sheetName val="KEY"/>
      <sheetName val="МСФО_счета"/>
      <sheetName val="CAPEX new"/>
      <sheetName val="Library"/>
      <sheetName val="Accounts DATA"/>
      <sheetName val="5.Справочники"/>
      <sheetName val="Fixed_charges"/>
      <sheetName val="Below_EBITDA"/>
      <sheetName val="Контрагент_1"/>
      <sheetName val="cost"/>
      <sheetName val="заполнение таблицы"/>
      <sheetName val="partn"/>
      <sheetName val="Справочник(тех)"/>
      <sheetName val="СписокКомпаний"/>
      <sheetName val="Qtrly CF"/>
      <sheetName val="MAYO98"/>
      <sheetName val="Qtrly_CF"/>
      <sheetName val="Tenancy"/>
      <sheetName val="Control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мэппинг PL_CF"/>
      <sheetName val="цфо_МВЗ"/>
      <sheetName val="Расчёт"/>
      <sheetName val="CAMPAIGN AVERAGE F"/>
      <sheetName val="статьи БДР"/>
      <sheetName val="Ф_21"/>
      <sheetName val="данные_для_графика1"/>
      <sheetName val="Структура_расходов1"/>
      <sheetName val="ф_29мес_1"/>
      <sheetName val="CREDIT_STATS1"/>
      <sheetName val="справочник мвз"/>
      <sheetName val="List of CH"/>
      <sheetName val="TDSheet"/>
      <sheetName val="свод_БП"/>
      <sheetName val="Инструкция"/>
      <sheetName val="орг.структура"/>
      <sheetName val="ГПХ_цфо 999"/>
      <sheetName val="МРФ"/>
      <sheetName val="УПЦ"/>
      <sheetName val="ОЦО"/>
      <sheetName val="Бурятия"/>
      <sheetName val="Алтай"/>
      <sheetName val="Красноярск"/>
      <sheetName val="Иркутск"/>
      <sheetName val="Кемерово"/>
      <sheetName val="Новосибирск"/>
      <sheetName val="Омск"/>
      <sheetName val="Томск"/>
      <sheetName val="Модели_ЦСП_обор"/>
      <sheetName val="ТПС"/>
      <sheetName val="5. СПРАВОЧНИКИ"/>
      <sheetName val="3P_FA"/>
      <sheetName val="Список лотов"/>
      <sheetName val="Справочник люди"/>
      <sheetName val="НС_3"/>
      <sheetName val="Довідник"/>
      <sheetName val="2.INP-Timeline"/>
      <sheetName val="Пусто"/>
      <sheetName val="acc"/>
      <sheetName val="Control_ЦБО"/>
      <sheetName val="Фильтры"/>
      <sheetName val="Ставки"/>
      <sheetName val="Results"/>
      <sheetName val="Charts"/>
      <sheetName val="КА"/>
      <sheetName val="Const"/>
      <sheetName val="справ"/>
      <sheetName val="Лист5"/>
      <sheetName val="Существенность"/>
      <sheetName val="Products annual"/>
      <sheetName val="Статьи_МКМ"/>
      <sheetName val="Список CapEx"/>
      <sheetName val="Списки (доходы)"/>
      <sheetName val="Список (CapEx)"/>
      <sheetName val="Список для СapEx"/>
      <sheetName val="Товарооборот 2021"/>
      <sheetName val="ФОТ штат_22"/>
      <sheetName val="Численность_по активам"/>
      <sheetName val="КСВ_График слайд 11"/>
      <sheetName val="ФЛ_2019"/>
      <sheetName val="мсфо"/>
      <sheetName val="Статьи ПК"/>
      <sheetName val="для GAAP Analysis"/>
      <sheetName val="В файл IFRS Analysis мобильн"/>
      <sheetName val="B22-B24"/>
      <sheetName val="Исх дан для мобильного"/>
      <sheetName val="Корр-ка неттинга"/>
      <sheetName val="B22-B24 БЕР (ан ДЗ % Резерва)"/>
      <sheetName val="B22_B24_BER_3'q19_vs_4q'18"/>
      <sheetName val="сверка мис и формы "/>
      <sheetName val="сыверка мис и осв"/>
      <sheetName val="сверка неттинг"/>
      <sheetName val="анализ в целом по кластерам"/>
      <sheetName val="анализ в разрезе кластеров"/>
      <sheetName val="сверка с рабочим реклассом"/>
      <sheetName val="ОСВ ГК 4кв"/>
      <sheetName val="B22-B24 MSK "/>
      <sheetName val="B24 MSK"/>
      <sheetName val="B22 SPB"/>
      <sheetName val="6201 MSK"/>
      <sheetName val="B22 Сильный"/>
      <sheetName val="B24 Сильный"/>
      <sheetName val="B22 Паритетный"/>
      <sheetName val="B24 Паритетный"/>
      <sheetName val="B22 Рост"/>
      <sheetName val="B24 Рост"/>
      <sheetName val="B22 Стабильный"/>
      <sheetName val="B24 Стабильный"/>
      <sheetName val="Свод (2)"/>
      <sheetName val="ДЗ 150 дней УЗИ"/>
      <sheetName val="ДЗ 180 дней"/>
      <sheetName val="Свод (3)"/>
      <sheetName val="УЗИ 2q16 ДЗ 150 дней"/>
      <sheetName val="с"/>
      <sheetName val="проводка SLA"/>
      <sheetName val="анализ проверка"/>
      <sheetName val="C проверка шаблона"/>
      <sheetName val="проводка"/>
      <sheetName val="меппинг БЕ, срока ДЗ"/>
      <sheetName val="проверка"/>
      <sheetName val="не мигр ДЗ"/>
      <sheetName val="БМК"/>
      <sheetName val="проценты резерва"/>
      <sheetName val="hfm"/>
      <sheetName val="Кл01"/>
      <sheetName val="B24 K01"/>
      <sheetName val="B22 K04"/>
      <sheetName val="B22 SPB_"/>
      <sheetName val="B24 SPB"/>
      <sheetName val="B24 K02"/>
      <sheetName val="B22_K04"/>
      <sheetName val="свод 0010704 БРЕНД ГРАФИКА"/>
      <sheetName val="0010704"/>
      <sheetName val="Кл04"/>
      <sheetName val="Спб"/>
      <sheetName val="B24 MSK "/>
      <sheetName val="CL01_"/>
      <sheetName val="CL04"/>
      <sheetName val="Cl01"/>
      <sheetName val="Кл2"/>
      <sheetName val="Кл3"/>
      <sheetName val="Кл4_"/>
      <sheetName val="SPB"/>
      <sheetName val="МСК A2P_"/>
      <sheetName val="МБ"/>
      <sheetName val="ФБ_МРМ+СПб"/>
      <sheetName val="ФБ"/>
      <sheetName val="ТРАК"/>
      <sheetName val="Сбербанк"/>
      <sheetName val="неттинг"/>
      <sheetName val="спрч-ик для ф-л"/>
      <sheetName val="спр-к ДУД"/>
      <sheetName val="БМК (2)"/>
      <sheetName val="меппинг БЕ, срока ДЗ (2)"/>
      <sheetName val="соотв 62-63 (1)"/>
      <sheetName val="соотв 62-63 (2)"/>
      <sheetName val="выясненные расхождения"/>
      <sheetName val="не мигр.дз"/>
      <sheetName val="анализ в разрезе кластеров ДЗ"/>
      <sheetName val="ДЗ"/>
      <sheetName val="ОСВ ГК 4кв В22"/>
      <sheetName val="MEX95IB"/>
      <sheetName val="Accrual_Tracking2"/>
      <sheetName val="03_Справочники1"/>
      <sheetName val="Sub_group_code_&amp;_Name2"/>
      <sheetName val="осв_ОАО_(2)2"/>
      <sheetName val="7-д_ч_12"/>
      <sheetName val="Юр_лица"/>
      <sheetName val="13_1"/>
      <sheetName val="Коэфф1_"/>
      <sheetName val="свод_2"/>
      <sheetName val="Амур_ДОН"/>
      <sheetName val="Дополнительные_параметры"/>
      <sheetName val="Прибыль_опл"/>
      <sheetName val="УП__2004"/>
      <sheetName val="КП_(2)"/>
      <sheetName val="исходные_данные"/>
      <sheetName val="расчетные_таблицы"/>
      <sheetName val="Sales_Testing"/>
      <sheetName val="Sales_Brdwn_9m_2006"/>
      <sheetName val="Adjustment_schedule"/>
      <sheetName val="Процедуры_из_библиотеки"/>
      <sheetName val="IFRS_LS_2018"/>
      <sheetName val="Sources_&gt;&gt;"/>
      <sheetName val="Adj_RZAS"/>
      <sheetName val="Adj_RZ"/>
      <sheetName val="Population_44_26"/>
      <sheetName val="TB_2018"/>
      <sheetName val="Test_Opex"/>
      <sheetName val="Adj_Farm"/>
      <sheetName val="IFRS_LS_2017"/>
      <sheetName val="мероприятия_"/>
      <sheetName val="Список_Подразделений"/>
      <sheetName val="саратов_(2)"/>
      <sheetName val="RENT_ROLL_CHECK"/>
      <sheetName val="Additions_2002"/>
      <sheetName val="Rollforward_ST"/>
      <sheetName val="ОСВ_66-67_2018"/>
      <sheetName val="Эфф__ставка"/>
      <sheetName val="Вексель_РТТ-ЮХ_10_16_ч1"/>
      <sheetName val="Вексель_РТТ-ЮХ_10_16_ч2"/>
      <sheetName val="Вексель_Поляны-ТТ_транс"/>
      <sheetName val="Вексель_Поляны-ЮХ_28_10"/>
      <sheetName val="Вексель_Поляны-ЮХ_02_07"/>
      <sheetName val="Вексель_Поляны-ЮХ_03_06"/>
      <sheetName val="Вексель_Поляны-ЮХ_13_07"/>
      <sheetName val="ТТ_-ЮХ_уступка"/>
      <sheetName val="Уступка_РТЗ_-_КМП_ч1"/>
      <sheetName val="Уступка_РТЗ_-_КМП_ч2"/>
      <sheetName val="Займ_получ__Л-ЮХ_138|11"/>
      <sheetName val="Займ_получ__Л-ЮХ_от_01_07"/>
      <sheetName val="Займ_получ__РТЗ-ЮХ_121|11"/>
      <sheetName val="Займ_получ__РТЗ-ЮХ_136|11"/>
      <sheetName val="Займ_получ__ЮХ-88"/>
      <sheetName val="Займ_получ__РТТ-ЮХ_20_16"/>
      <sheetName val="Карточка_счета_РТТ"/>
      <sheetName val="Займ_РТТ-ЮХ_20|16-карточка"/>
      <sheetName val="Займ_получ__ЮХ-88-карточка"/>
      <sheetName val="S 6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ustments"/>
      <sheetName val="B-down"/>
      <sheetName val="ConfirmControll"/>
      <sheetName val="Provision"/>
      <sheetName val="Interest"/>
      <sheetName val="Threshold"/>
      <sheetName val="Tickmarks"/>
      <sheetName val="Adjustments (2)"/>
      <sheetName val="X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shold"/>
      <sheetName val="Payroll test"/>
      <sheetName val="Sheet1"/>
      <sheetName val="XREF"/>
      <sheetName val="Tickmarks"/>
      <sheetName val="Venituri"/>
      <sheetName val="Дебиторы 0106_1"/>
      <sheetName val="Дебиторы 0106_2"/>
      <sheetName val="Дебиторы 0106_3"/>
      <sheetName val="Output"/>
      <sheetName val="Taxes &amp; Deductions"/>
      <sheetName val="Concentratio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"/>
      <sheetName val="Лист2"/>
      <sheetName val="вспм"/>
    </sheetNames>
    <sheetDataSet>
      <sheetData sheetId="0">
        <row r="12">
          <cell r="F12" t="str">
            <v>ПРЯМОЕ</v>
          </cell>
          <cell r="I12" t="str">
            <v>КСЖ</v>
          </cell>
          <cell r="J12" t="str">
            <v>НОВЫЙ БИЗНЕС</v>
          </cell>
        </row>
        <row r="13">
          <cell r="F13" t="str">
            <v>ВХОДЯЩЕЕ</v>
          </cell>
          <cell r="I13" t="str">
            <v>КОРОБКИ</v>
          </cell>
          <cell r="J13" t="str">
            <v>ПРОЛОНГАЦИЯ</v>
          </cell>
        </row>
        <row r="14">
          <cell r="I14" t="str">
            <v>КОРОБКИ МСБ</v>
          </cell>
        </row>
        <row r="15">
          <cell r="I15" t="str">
            <v>ИПОТЕКА</v>
          </cell>
        </row>
        <row r="16">
          <cell r="I16" t="str">
            <v>ЗАЛОГИ</v>
          </cell>
        </row>
        <row r="17">
          <cell r="I17" t="str">
            <v>ВЗР</v>
          </cell>
        </row>
        <row r="18">
          <cell r="I18" t="str">
            <v>не применимо</v>
          </cell>
        </row>
      </sheetData>
      <sheetData sheetId="1" refreshError="1"/>
      <sheetData sheetId="2">
        <row r="3">
          <cell r="A3" t="str">
            <v>ЗВОНАРЕВА К.</v>
          </cell>
        </row>
        <row r="4">
          <cell r="A4" t="str">
            <v>ДОРОФЕЕВ М.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"/>
      <sheetName val="FINAL"/>
      <sheetName val="Canal"/>
      <sheetName val="LB"/>
      <sheetName val="Month"/>
      <sheetName val="OPTIONS"/>
      <sheetName val="INPUT"/>
      <sheetName val="CALC"/>
      <sheetName val="Allocation"/>
      <sheetName val="WP"/>
      <sheetName val="OPEX"/>
      <sheetName val="OPEX_"/>
      <sheetName val="Модель&gt;"/>
      <sheetName val="Премия"/>
      <sheetName val="КВ"/>
      <sheetName val="Допущения"/>
      <sheetName val="Лист4"/>
      <sheetName val="ПРОГНОЗ (наил.)"/>
      <sheetName val="Факт"/>
      <sheetName val="Премия под НБ"/>
      <sheetName val="Общие параметры модели"/>
      <sheetName val="TECH"/>
      <sheetName val="Вероятности расторжения КСЖ"/>
      <sheetName val="ПРОГНОЗ (рег.)"/>
      <sheetName val="Вспомогательные таблицы"/>
      <sheetName val="Выкупные"/>
      <sheetName val="вер-ти муж"/>
      <sheetName val="вер-ти жен"/>
      <sheetName val="L(x)"/>
      <sheetName val="q(x)"/>
      <sheetName val="Тариф"/>
      <sheetName val="Параматры для расчета тариф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A4" t="str">
            <v>БЮДЖЕТ</v>
          </cell>
          <cell r="D4" t="str">
            <v>БАНК УРАЛСИБ</v>
          </cell>
        </row>
        <row r="5">
          <cell r="D5" t="str">
            <v>БАНКИ-ПАРТНЕРЫ</v>
          </cell>
        </row>
        <row r="6">
          <cell r="D6" t="str">
            <v>ПАРТНЕРЫ</v>
          </cell>
        </row>
        <row r="7">
          <cell r="D7" t="str">
            <v>АГЕНТЫ</v>
          </cell>
        </row>
        <row r="8">
          <cell r="D8" t="str">
            <v>ОНЛАЙН</v>
          </cell>
        </row>
        <row r="9">
          <cell r="D9" t="str">
            <v>СТАРЫЙ ПОРТФЕЛЬ</v>
          </cell>
        </row>
        <row r="10">
          <cell r="D10" t="str">
            <v>ИТОГО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P"/>
      <sheetName val="Лист2"/>
      <sheetName val="вспм"/>
    </sheetNames>
    <sheetDataSet>
      <sheetData sheetId="0">
        <row r="12">
          <cell r="F12" t="str">
            <v>ПРЯМОЕ</v>
          </cell>
          <cell r="I12" t="str">
            <v>КСЖ</v>
          </cell>
          <cell r="J12" t="str">
            <v>НОВЫЙ БИЗНЕС</v>
          </cell>
        </row>
        <row r="13">
          <cell r="I13" t="str">
            <v>КОРОБКИ</v>
          </cell>
          <cell r="J13" t="str">
            <v>ПРОЛОНГАЦИЯ</v>
          </cell>
        </row>
        <row r="14">
          <cell r="I14" t="str">
            <v>КОРОБКИ МСБ</v>
          </cell>
        </row>
        <row r="15">
          <cell r="I15" t="str">
            <v>ИПОТЕКА</v>
          </cell>
        </row>
        <row r="16">
          <cell r="I16" t="str">
            <v>ЗАЛОГИ</v>
          </cell>
        </row>
        <row r="17">
          <cell r="I17" t="str">
            <v>ВЗР</v>
          </cell>
        </row>
        <row r="18">
          <cell r="I18" t="str">
            <v>не применимо</v>
          </cell>
        </row>
      </sheetData>
      <sheetData sheetId="1" refreshError="1"/>
      <sheetData sheetId="2">
        <row r="3">
          <cell r="A3" t="str">
            <v>ЗВОНАРЕВА К.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иенко Юлия Владимировна" refreshedDate="45951.648349537034" createdVersion="6" refreshedVersion="6" minRefreshableVersion="3" recordCount="51" xr:uid="{00000000-000A-0000-FFFF-FFFF00000000}">
  <cacheSource type="worksheet">
    <worksheetSource ref="B3:E54" sheet="ЛБ"/>
  </cacheSource>
  <cacheFields count="4">
    <cacheField name="Продукт" numFmtId="0">
      <sharedItems count="30">
        <s v="Гибкий курс"/>
        <s v="НП"/>
        <s v="Будущее под ключ"/>
        <s v="НСЖ с Кэшбеком"/>
        <s v="Групп. пенсия"/>
        <s v="Индив Пенсия"/>
        <s v="Прочее (СИВ)"/>
        <s v="Дело жизни"/>
        <s v="Детский капитал"/>
        <s v="Классика+"/>
        <s v="Курс жизни Про"/>
        <s v="Максимальная выгода"/>
        <s v="Прочее (СКБЖ)"/>
        <s v="Юниор+"/>
        <s v="Citi Comfort"/>
        <s v="Citi Health"/>
        <s v="Citi Kids"/>
        <s v="Citi Premium"/>
        <s v="Сила процента"/>
        <s v="Стабильный курс"/>
        <s v="Верное решение"/>
        <s v="Легкий старт"/>
        <s v="Прочее (Уралсиб)"/>
        <s v="Стабильный доход"/>
        <s v="ДМС"/>
        <s v="КорпЖ"/>
        <s v="КорпНС"/>
        <s v="КСЖ"/>
        <s v="НС"/>
        <s v="КСЖ (Уралсиб)"/>
      </sharedItems>
    </cacheField>
    <cacheField name="Линия бизнеса (форма)" numFmtId="0">
      <sharedItems count="22">
        <s v="ГК"/>
        <s v="НП"/>
        <s v="НСЖ"/>
        <s v="НСЖ_КБ"/>
        <s v="Групп.пенсия"/>
        <s v="Индив.пенсия"/>
        <s v="ИСЖ_СИВ"/>
        <s v="НСЖ_СИВ"/>
        <s v="ИСЖ_Уралсиб"/>
        <s v="НСЖ_Уралсиб"/>
        <s v="ДМС"/>
        <s v="ДМС_СИВ"/>
        <s v="КорпЖ"/>
        <s v="КорпНС"/>
        <s v="КСЖ"/>
        <s v="КСЖ_СИВ"/>
        <s v="НС"/>
        <s v="НС_СИВ"/>
        <s v="НСЖ_СИВ_ДМС"/>
        <s v="НСЖ_СИВ_НС"/>
        <s v="КСЖ_Уралсиб"/>
        <s v="Прочее_Уралсиб"/>
      </sharedItems>
    </cacheField>
    <cacheField name="Портфель" numFmtId="0">
      <sharedItems/>
    </cacheField>
    <cacheField name="L/N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иенко Юлия Владимировна" refreshedDate="45951.78360289352" createdVersion="6" refreshedVersion="6" minRefreshableVersion="3" recordCount="156" xr:uid="{00000000-000A-0000-FFFF-FFFF01000000}">
  <cacheSource type="worksheet">
    <worksheetSource ref="B5:AV161" sheet="ФОРМА СКБСЖ"/>
  </cacheSource>
  <cacheFields count="50">
    <cacheField name="Компания" numFmtId="0">
      <sharedItems count="2">
        <s v="СКБСЖ"/>
        <s v="СКБС" u="1"/>
      </sharedItems>
    </cacheField>
    <cacheField name="Канал" numFmtId="0">
      <sharedItems count="9">
        <s v="Розница"/>
        <s v="Уралсиб_"/>
        <s v=""/>
        <s v="Корп.блок" u="1"/>
        <s v="Агенты" u="1"/>
        <s v="Дилеры" u="1"/>
        <s v="Входящее" u="1"/>
        <s v="Уралсиб" u="1"/>
        <s v="Корпораты" u="1"/>
      </sharedItems>
    </cacheField>
    <cacheField name="Подканал" numFmtId="0">
      <sharedItems containsBlank="1"/>
    </cacheField>
    <cacheField name="Подканал (код)" numFmtId="0">
      <sharedItems containsBlank="1" count="62">
        <m/>
        <s v=""/>
        <s v="10.16.01" u="1"/>
        <s v="10.13" u="1"/>
        <s v="04.03.01" u="1"/>
        <s v="04.01.01" u="1"/>
        <s v="-2" u="1"/>
        <s v="04.03.04" u="1"/>
        <s v="01.13" u="1"/>
        <s v="03.06" u="1"/>
        <s v="00.02.01" u="1"/>
        <s v="03.04" u="1"/>
        <s v="03.02" u="1"/>
        <s v="03.00" u="1"/>
        <s v="10.23" u="1"/>
        <s v="10.21" u="1"/>
        <s v="02.08" u="1"/>
        <s v="02.06" u="1"/>
        <s v="10.08" u="1"/>
        <s v="02.02" u="1"/>
        <s v="10.06" u="1"/>
        <s v="10.04" u="1"/>
        <s v="01.00.02" u="1"/>
        <s v="03.10" u="1"/>
        <s v="04.05.02" u="1"/>
        <s v="10.02" u="1"/>
        <s v="05.01" u="1"/>
        <s v="04.03.02" u="1"/>
        <s v="01.06" u="1"/>
        <s v="01.07.01" u="1"/>
        <s v="01.02" u="1"/>
        <s v="10.18" u="1"/>
        <s v="01.00" u="1"/>
        <s v="10.16" u="1"/>
        <s v="10.14" u="1"/>
        <s v="10.12" u="1"/>
        <s v="04.02.01" u="1"/>
        <s v="10.10" u="1"/>
        <s v="01.14" u="1"/>
        <s v="03.07" u="1"/>
        <s v="03.03" u="1"/>
        <s v="03.01" u="1"/>
        <s v="10.22" u="1"/>
        <s v="04.03.03" u="1"/>
        <s v="10.20" u="1"/>
        <s v="02.07" u="1"/>
        <s v="02.05" u="1"/>
        <s v="01.07.02" u="1"/>
        <s v="02.03" u="1"/>
        <s v="10.07" u="1"/>
        <s v="02.01" u="1"/>
        <s v="10.05" u="1"/>
        <s v="10.03" u="1"/>
        <s v="10.01" u="1"/>
        <s v="01.05" u="1"/>
        <s v="01.03" u="1"/>
        <s v="01.01" u="1"/>
        <s v="10.17" u="1"/>
        <s v="07.09" u="1"/>
        <s v="10.15" u="1"/>
        <s v="01.00.01" u="1"/>
        <s v="07.07" u="1"/>
      </sharedItems>
    </cacheField>
    <cacheField name="Регион" numFmtId="0">
      <sharedItems containsNonDate="0" containsBlank="1" count="3">
        <m/>
        <s v="Барнаул" u="1"/>
        <s v="Ленинградская область" u="1"/>
      </sharedItems>
    </cacheField>
    <cacheField name="Новые ТП" numFmtId="0">
      <sharedItems containsNonDate="0" containsBlank="1" count="2">
        <m/>
        <s v="Новая ТП_......" u="1"/>
      </sharedItems>
    </cacheField>
    <cacheField name="L/NL" numFmtId="0">
      <sharedItems count="3">
        <s v="Лайф"/>
        <s v="Нон-лайф"/>
        <s v=""/>
      </sharedItems>
    </cacheField>
    <cacheField name="Портфель" numFmtId="0">
      <sharedItems containsBlank="1" count="4">
        <s v="Новый"/>
        <s v="СКБЖ"/>
        <s v="Уралсиб"/>
        <m/>
      </sharedItems>
    </cacheField>
    <cacheField name="Сегмент" numFmtId="0">
      <sharedItems containsNonDate="0" containsBlank="1" count="34">
        <m/>
        <s v="Грузы рынок" u="1"/>
        <s v="Имущество ФЛ" u="1"/>
        <s v="Ипотека Доп Покрытие" u="1"/>
        <s v="НС ФЛ Рынок" u="1"/>
        <s v="ВЗР Прочее" u="1"/>
        <s v="Каско ЮЛ" u="1"/>
        <s v="Каско дилеры" u="1"/>
        <s v="Имущество ЮЛ" u="1"/>
        <s v="Ипотека НС Рынок" u="1"/>
        <s v="ВЗР лайт" u="1"/>
        <s v="НС Банковский" u="1"/>
        <s v="Прочее" u="1"/>
        <s v="ОСАГО вх" u="1"/>
        <s v="ДМС СКБ" u="1"/>
        <s v="Грузы ДЛ" u="1"/>
        <s v="ГО_перевозчика" u="1"/>
        <s v="ДМС депозит" u="1"/>
        <s v="Ипотека Имущество СКБ" u="1"/>
        <s v="ОСАГО СУ" u="1"/>
        <s v="Каско ФЛ прочее" u="1"/>
        <s v="ДМС рынок" u="1"/>
        <s v="НС Рыночный" u="1"/>
        <s v="Ответственность" u="1"/>
        <s v="GAP дилеры" u="1"/>
        <s v="ОСАГО пул" u="1"/>
        <s v="Каско СКБЛ" u="1"/>
        <s v="Ипотека Титул" u="1"/>
        <s v="Имущество Прочее" u="1"/>
        <s v="Входящее" u="1"/>
        <s v="Ипотека Имущество" u="1"/>
        <s v="Ипотека Потеря Работы" u="1"/>
        <s v="Ипотека НС СКБ" u="1"/>
        <s v="НС Потеря работы СКБ" u="1"/>
      </sharedItems>
    </cacheField>
    <cacheField name="ЛБ " numFmtId="0">
      <sharedItems containsBlank="1" count="34">
        <s v="ГК"/>
        <s v="НП"/>
        <s v="НСЖ_КБ"/>
        <s v="Индив.пенсия"/>
        <s v="НСЖ"/>
        <s v="НС"/>
        <s v="ИСЖ_СИВ"/>
        <s v="НСЖ_СИВ"/>
        <s v="ДМС"/>
        <s v="ДМС_СИВ"/>
        <s v="КСЖ"/>
        <s v="КСЖ_СИВ"/>
        <s v="НС_СИВ"/>
        <s v="НСЖ_СИВ_ДМС"/>
        <s v="НСЖ_СИВ_НС"/>
        <s v="ИСЖ_Уралсиб"/>
        <s v="НСЖ_Уралсиб"/>
        <s v="КСЖ_Уралсиб"/>
        <s v="Прочее_Уралсиб"/>
        <m/>
        <s v="" u="1"/>
        <s v="Ипотека" u="1"/>
        <s v="КорпНС" u="1"/>
        <s v="Перестрахование" u="1"/>
        <s v="Прочее" u="1"/>
        <s v="Имущество" u="1"/>
        <s v="Грузы" u="1"/>
        <s v="ГО_перевозчика" u="1"/>
        <s v="ОСАГО" u="1"/>
        <s v="Групп.пенсия" u="1"/>
        <s v="Каско" u="1"/>
        <s v="КорпЖ" u="1"/>
        <s v="ВЗР" u="1"/>
        <s v="Ответственность" u="1"/>
      </sharedItems>
    </cacheField>
    <cacheField name="Продукт" numFmtId="0">
      <sharedItems containsBlank="1" count="43">
        <s v="Гибкий курс"/>
        <s v="НП"/>
        <s v="НСЖ с Кэшбеком"/>
        <s v="Индив Пенсия"/>
        <s v="Дело жизни"/>
        <s v="Детский капитал"/>
        <s v="Максимальная выгода"/>
        <s v="Прочее (СКБЖ)"/>
        <s v="НС"/>
        <s v="Прочее (СИВ)"/>
        <s v="Citi Comfort"/>
        <s v="Citi Health"/>
        <s v="Citi Kids"/>
        <s v="Citi Premium"/>
        <s v="Стабильный курс"/>
        <s v="Сила процента"/>
        <s v="ДМС"/>
        <s v="КСЖ"/>
        <s v="Верное решение"/>
        <s v="Легкий старт"/>
        <s v="Прочее (Уралсиб)"/>
        <s v="Стабильный доход"/>
        <s v="КСЖ (Уралсиб)"/>
        <m/>
        <s v="Имущество ФЛ" u="1"/>
        <s v="Выезжающие за рубеж" u="1"/>
        <s v="GAP страхование" u="1"/>
        <s v="КорпНС" u="1"/>
        <s v="ОСАГО ФЛ" u="1"/>
        <s v="Грузы" u="1"/>
        <s v="Ответственность перевозчиков/экспедиторов/операторов складов" u="1"/>
        <s v="НС ФЛ" u="1"/>
        <s v="Будущее под ключ" u="1"/>
        <s v="Ответственность - ОС ОПО" u="1"/>
        <s v="КАСКО ФЛ" u="1"/>
        <s v="Групп. пенсия" u="1"/>
        <s v="Курс жизни Про" u="1"/>
        <s v="КорпЖ" u="1"/>
        <s v="ДМС ЮЛ" u="1"/>
        <s v="Юниор+" u="1"/>
        <s v="Ипотека и отв-ть заемщиков" u="1"/>
        <s v="Классика+" u="1"/>
        <s v="Входящее" u="1"/>
      </sharedItems>
    </cacheField>
    <cacheField name="Периодичность" numFmtId="0">
      <sharedItems containsBlank="1" count="3">
        <s v="Единовременная"/>
        <s v="Регулярная"/>
        <m/>
      </sharedItems>
    </cacheField>
    <cacheField name="Новый бизнес/ Пролонгация" numFmtId="0">
      <sharedItems containsBlank="1" count="3">
        <s v="Новый"/>
        <s v="Пролонгация"/>
        <m/>
      </sharedItems>
    </cacheField>
    <cacheField name="янв.25" numFmtId="3">
      <sharedItems containsString="0" containsBlank="1" containsNumber="1" minValue="-14180000" maxValue="2629748873.1600003"/>
    </cacheField>
    <cacheField name="фев.25" numFmtId="3">
      <sharedItems containsString="0" containsBlank="1" containsNumber="1" minValue="-465260.79999999999" maxValue="3941211255"/>
    </cacheField>
    <cacheField name="мар.25" numFmtId="3">
      <sharedItems containsString="0" containsBlank="1" containsNumber="1" minValue="-680380.12" maxValue="6370064661.6000004"/>
    </cacheField>
    <cacheField name="апр.25" numFmtId="3">
      <sharedItems containsString="0" containsBlank="1" containsNumber="1" minValue="-2130000" maxValue="1026106486.3"/>
    </cacheField>
    <cacheField name="май.25" numFmtId="3">
      <sharedItems containsString="0" containsBlank="1" containsNumber="1" minValue="-427468.39" maxValue="1961179305.4000001"/>
    </cacheField>
    <cacheField name="июн.25" numFmtId="3">
      <sharedItems containsString="0" containsBlank="1" containsNumber="1" minValue="-333015.81" maxValue="1954316259"/>
    </cacheField>
    <cacheField name="июл.25" numFmtId="3">
      <sharedItems containsString="0" containsBlank="1" containsNumber="1" minValue="-220919.52" maxValue="2190823168"/>
    </cacheField>
    <cacheField name="авг.25" numFmtId="3">
      <sharedItems containsString="0" containsBlank="1" containsNumber="1" minValue="-5019691" maxValue="345433682"/>
    </cacheField>
    <cacheField name="сен.25" numFmtId="3">
      <sharedItems containsString="0" containsBlank="1" containsNumber="1" minValue="-2150000" maxValue="583395118"/>
    </cacheField>
    <cacheField name="окт.25" numFmtId="3">
      <sharedItems containsString="0" containsBlank="1" containsNumber="1" minValue="-12652532.720478892" maxValue="629000000"/>
    </cacheField>
    <cacheField name="ноя.25" numFmtId="3">
      <sharedItems containsString="0" containsBlank="1" containsNumber="1" minValue="-12488361.394473061" maxValue="350000000"/>
    </cacheField>
    <cacheField name="дек.25" numFmtId="3">
      <sharedItems containsString="0" containsBlank="1" containsNumber="1" minValue="-12294950.513655204" maxValue="350000000"/>
    </cacheField>
    <cacheField name="2025" numFmtId="3">
      <sharedItems containsSemiMixedTypes="0" containsString="0" containsNumber="1" minValue="-37435844.628607154" maxValue="22078280803.459999"/>
    </cacheField>
    <cacheField name="янв.26" numFmtId="3">
      <sharedItems containsNonDate="0" containsString="0" containsBlank="1"/>
    </cacheField>
    <cacheField name="фев.26" numFmtId="3">
      <sharedItems containsNonDate="0" containsString="0" containsBlank="1"/>
    </cacheField>
    <cacheField name="мар.26" numFmtId="3">
      <sharedItems containsNonDate="0" containsString="0" containsBlank="1"/>
    </cacheField>
    <cacheField name="апр.26" numFmtId="3">
      <sharedItems containsNonDate="0" containsString="0" containsBlank="1"/>
    </cacheField>
    <cacheField name="май.26" numFmtId="3">
      <sharedItems containsNonDate="0" containsString="0" containsBlank="1"/>
    </cacheField>
    <cacheField name="июн.26" numFmtId="3">
      <sharedItems containsNonDate="0" containsString="0" containsBlank="1"/>
    </cacheField>
    <cacheField name="июл.26" numFmtId="3">
      <sharedItems containsNonDate="0" containsString="0" containsBlank="1"/>
    </cacheField>
    <cacheField name="авг.26" numFmtId="3">
      <sharedItems containsNonDate="0" containsString="0" containsBlank="1"/>
    </cacheField>
    <cacheField name="сен.26" numFmtId="3">
      <sharedItems containsNonDate="0" containsString="0" containsBlank="1"/>
    </cacheField>
    <cacheField name="окт.26" numFmtId="3">
      <sharedItems containsNonDate="0" containsString="0" containsBlank="1"/>
    </cacheField>
    <cacheField name="ноя.26" numFmtId="3">
      <sharedItems containsNonDate="0" containsString="0" containsBlank="1"/>
    </cacheField>
    <cacheField name="дек.26" numFmtId="3">
      <sharedItems containsNonDate="0" containsString="0" containsBlank="1"/>
    </cacheField>
    <cacheField name="2026" numFmtId="3">
      <sharedItems containsSemiMixedTypes="0" containsString="0" containsNumber="1" containsInteger="1" minValue="0" maxValue="0"/>
    </cacheField>
    <cacheField name="2027" numFmtId="0">
      <sharedItems containsNonDate="0" containsString="0" containsBlank="1"/>
    </cacheField>
    <cacheField name="2028" numFmtId="0">
      <sharedItems containsNonDate="0" containsString="0" containsBlank="1"/>
    </cacheField>
    <cacheField name="%КВ 2025" numFmtId="9">
      <sharedItems containsNonDate="0" containsString="0" containsBlank="1"/>
    </cacheField>
    <cacheField name="%КВ 2026" numFmtId="9">
      <sharedItems containsNonDate="0" containsString="0" containsBlank="1"/>
    </cacheField>
    <cacheField name="%КВ 2027" numFmtId="9">
      <sharedItems containsNonDate="0" containsString="0" containsBlank="1"/>
    </cacheField>
    <cacheField name="%КВ 2028" numFmtId="9">
      <sharedItems containsNonDate="0" containsString="0" containsBlank="1"/>
    </cacheField>
    <cacheField name="Ответственный (ФИО)" numFmtId="0">
      <sharedItems containsNonDate="0" containsString="0" containsBlank="1"/>
    </cacheField>
    <cacheField name="Пояснения к плану" numFmtId="0">
      <sharedItems containsNonDate="0" containsString="0" containsBlank="1"/>
    </cacheField>
    <cacheField name="2025г" numFmtId="0" formula="янв.25+фев.25+мар.25+апр.25+май.25+июн.25+июл.25+авг.25+сен.25+окт.25+ноя.25+дек.25" databaseField="0"/>
    <cacheField name="2026г" numFmtId="0" formula="янв.26+фев.26+мар.26+апр.26+май.26+июн.26+июл.26+авг.26+сен.26+окт.26+ноя.26+дек.26" databaseField="0"/>
    <cacheField name="2026/2025,%" numFmtId="0" formula=" IFERROR('2026г'/'2025г',&quot;&quot;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s v="Новый"/>
    <s v="Лайф"/>
  </r>
  <r>
    <x v="1"/>
    <x v="1"/>
    <s v="Новый"/>
    <s v="Лайф"/>
  </r>
  <r>
    <x v="2"/>
    <x v="2"/>
    <s v="Новый"/>
    <s v="Лайф"/>
  </r>
  <r>
    <x v="3"/>
    <x v="3"/>
    <s v="Новый"/>
    <s v="Лайф"/>
  </r>
  <r>
    <x v="4"/>
    <x v="4"/>
    <s v="СКБЖ"/>
    <s v="Лайф"/>
  </r>
  <r>
    <x v="5"/>
    <x v="5"/>
    <s v="СКБЖ"/>
    <s v="Лайф"/>
  </r>
  <r>
    <x v="6"/>
    <x v="6"/>
    <s v="СКБЖ"/>
    <s v="Лайф"/>
  </r>
  <r>
    <x v="7"/>
    <x v="2"/>
    <s v="СКБЖ"/>
    <s v="Лайф"/>
  </r>
  <r>
    <x v="8"/>
    <x v="2"/>
    <s v="СКБЖ"/>
    <s v="Лайф"/>
  </r>
  <r>
    <x v="9"/>
    <x v="2"/>
    <s v="СКБЖ"/>
    <s v="Лайф"/>
  </r>
  <r>
    <x v="10"/>
    <x v="2"/>
    <s v="СКБЖ"/>
    <s v="Лайф"/>
  </r>
  <r>
    <x v="11"/>
    <x v="2"/>
    <s v="СКБЖ"/>
    <s v="Лайф"/>
  </r>
  <r>
    <x v="12"/>
    <x v="2"/>
    <s v="СКБЖ"/>
    <s v="Лайф"/>
  </r>
  <r>
    <x v="13"/>
    <x v="2"/>
    <s v="СКБЖ"/>
    <s v="Лайф"/>
  </r>
  <r>
    <x v="14"/>
    <x v="7"/>
    <s v="СКБЖ"/>
    <s v="Лайф"/>
  </r>
  <r>
    <x v="15"/>
    <x v="7"/>
    <s v="СКБЖ"/>
    <s v="Лайф"/>
  </r>
  <r>
    <x v="16"/>
    <x v="7"/>
    <s v="СКБЖ"/>
    <s v="Лайф"/>
  </r>
  <r>
    <x v="17"/>
    <x v="7"/>
    <s v="СКБЖ"/>
    <s v="Лайф"/>
  </r>
  <r>
    <x v="6"/>
    <x v="7"/>
    <s v="СКБЖ"/>
    <s v="Лайф"/>
  </r>
  <r>
    <x v="18"/>
    <x v="7"/>
    <s v="СКБЖ"/>
    <s v="Лайф"/>
  </r>
  <r>
    <x v="19"/>
    <x v="7"/>
    <s v="СКБЖ"/>
    <s v="Лайф"/>
  </r>
  <r>
    <x v="20"/>
    <x v="8"/>
    <s v="Уралсиб"/>
    <s v="Лайф"/>
  </r>
  <r>
    <x v="21"/>
    <x v="9"/>
    <s v="Уралсиб"/>
    <s v="Лайф"/>
  </r>
  <r>
    <x v="22"/>
    <x v="9"/>
    <s v="Уралсиб"/>
    <s v="Лайф"/>
  </r>
  <r>
    <x v="23"/>
    <x v="9"/>
    <s v="Уралсиб"/>
    <s v="Лайф"/>
  </r>
  <r>
    <x v="24"/>
    <x v="10"/>
    <s v="СКБЖ"/>
    <s v="Нон-лайф"/>
  </r>
  <r>
    <x v="6"/>
    <x v="11"/>
    <s v="СКБЖ"/>
    <s v="Нон-лайф"/>
  </r>
  <r>
    <x v="25"/>
    <x v="12"/>
    <s v="СКБЖ"/>
    <s v="Нон-лайф"/>
  </r>
  <r>
    <x v="26"/>
    <x v="13"/>
    <s v="СКБЖ"/>
    <s v="Нон-лайф"/>
  </r>
  <r>
    <x v="27"/>
    <x v="14"/>
    <s v="СКБЖ"/>
    <s v="Нон-лайф"/>
  </r>
  <r>
    <x v="6"/>
    <x v="15"/>
    <s v="СКБЖ"/>
    <s v="Нон-лайф"/>
  </r>
  <r>
    <x v="7"/>
    <x v="16"/>
    <s v="СКБЖ"/>
    <s v="Нон-лайф"/>
  </r>
  <r>
    <x v="28"/>
    <x v="16"/>
    <s v="СКБЖ"/>
    <s v="Нон-лайф"/>
  </r>
  <r>
    <x v="6"/>
    <x v="17"/>
    <s v="СКБЖ"/>
    <s v="Нон-лайф"/>
  </r>
  <r>
    <x v="14"/>
    <x v="18"/>
    <s v="СКБЖ"/>
    <s v="Нон-лайф"/>
  </r>
  <r>
    <x v="15"/>
    <x v="18"/>
    <s v="СКБЖ"/>
    <s v="Нон-лайф"/>
  </r>
  <r>
    <x v="16"/>
    <x v="18"/>
    <s v="СКБЖ"/>
    <s v="Нон-лайф"/>
  </r>
  <r>
    <x v="17"/>
    <x v="18"/>
    <s v="СКБЖ"/>
    <s v="Нон-лайф"/>
  </r>
  <r>
    <x v="6"/>
    <x v="18"/>
    <s v="СКБЖ"/>
    <s v="Нон-лайф"/>
  </r>
  <r>
    <x v="18"/>
    <x v="18"/>
    <s v="СКБЖ"/>
    <s v="Нон-лайф"/>
  </r>
  <r>
    <x v="19"/>
    <x v="18"/>
    <s v="СКБЖ"/>
    <s v="Нон-лайф"/>
  </r>
  <r>
    <x v="14"/>
    <x v="19"/>
    <s v="СКБЖ"/>
    <s v="Нон-лайф"/>
  </r>
  <r>
    <x v="15"/>
    <x v="19"/>
    <s v="СКБЖ"/>
    <s v="Нон-лайф"/>
  </r>
  <r>
    <x v="16"/>
    <x v="19"/>
    <s v="СКБЖ"/>
    <s v="Нон-лайф"/>
  </r>
  <r>
    <x v="17"/>
    <x v="19"/>
    <s v="СКБЖ"/>
    <s v="Нон-лайф"/>
  </r>
  <r>
    <x v="6"/>
    <x v="19"/>
    <s v="СКБЖ"/>
    <s v="Нон-лайф"/>
  </r>
  <r>
    <x v="18"/>
    <x v="19"/>
    <s v="СКБЖ"/>
    <s v="Нон-лайф"/>
  </r>
  <r>
    <x v="19"/>
    <x v="19"/>
    <s v="СКБЖ"/>
    <s v="Нон-лайф"/>
  </r>
  <r>
    <x v="29"/>
    <x v="20"/>
    <s v="Уралсиб"/>
    <s v="Нон-лайф"/>
  </r>
  <r>
    <x v="22"/>
    <x v="20"/>
    <s v="Уралсиб"/>
    <s v="Нон-лайф"/>
  </r>
  <r>
    <x v="22"/>
    <x v="21"/>
    <s v="Уралсиб"/>
    <s v="Нон-лайф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6">
  <r>
    <x v="0"/>
    <x v="0"/>
    <s v="WM"/>
    <x v="0"/>
    <x v="0"/>
    <x v="0"/>
    <x v="0"/>
    <x v="0"/>
    <x v="0"/>
    <x v="0"/>
    <x v="0"/>
    <x v="0"/>
    <x v="0"/>
    <n v="265735143.53"/>
    <n v="208306422"/>
    <n v="215871868.44999999"/>
    <n v="408691916"/>
    <n v="183113109"/>
    <n v="271097127.63999999"/>
    <n v="272935614"/>
    <n v="185626860"/>
    <n v="262351463.09999999"/>
    <n v="270000000"/>
    <n v="220000000"/>
    <n v="220000000"/>
    <n v="2983729523.71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1"/>
    <x v="1"/>
    <x v="0"/>
    <x v="0"/>
    <n v="2629748873.1600003"/>
    <n v="3941211255"/>
    <n v="6370064661.6000004"/>
    <n v="1026106486.3"/>
    <n v="1961179305.4000001"/>
    <n v="1954316259"/>
    <n v="2190823168"/>
    <n v="328435677"/>
    <n v="583395118"/>
    <n v="393000000"/>
    <n v="350000000"/>
    <n v="350000000"/>
    <n v="22078280803.45999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0"/>
    <n v="-14180000"/>
    <n v="5800000"/>
    <n v="8900000"/>
    <n v="-2130000"/>
    <n v="3880000"/>
    <n v="9560000"/>
    <n v="12680000"/>
    <n v="-3880000"/>
    <n v="-2150000"/>
    <n v="5500000"/>
    <n v="5500000"/>
    <n v="5500000"/>
    <n v="3498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3"/>
    <x v="3"/>
    <x v="1"/>
    <x v="0"/>
    <m/>
    <m/>
    <m/>
    <m/>
    <m/>
    <m/>
    <m/>
    <n v="-0.01"/>
    <m/>
    <m/>
    <m/>
    <m/>
    <n v="-0.01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3"/>
    <x v="3"/>
    <x v="1"/>
    <x v="1"/>
    <m/>
    <m/>
    <m/>
    <m/>
    <m/>
    <m/>
    <n v="373954.08000000007"/>
    <m/>
    <m/>
    <m/>
    <m/>
    <m/>
    <n v="373954.08000000007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4"/>
    <x v="0"/>
    <x v="0"/>
    <n v="298190000"/>
    <n v="304060000"/>
    <n v="400000000"/>
    <n v="442256762"/>
    <n v="344820997"/>
    <n v="226560433"/>
    <n v="205585836"/>
    <n v="345433682"/>
    <n v="322057921"/>
    <n v="167000000"/>
    <n v="167000000"/>
    <n v="167000000"/>
    <n v="3389965631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4"/>
    <x v="1"/>
    <x v="1"/>
    <m/>
    <n v="30000"/>
    <m/>
    <m/>
    <m/>
    <n v="50000"/>
    <m/>
    <m/>
    <m/>
    <m/>
    <m/>
    <m/>
    <n v="8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5"/>
    <x v="0"/>
    <x v="0"/>
    <m/>
    <m/>
    <m/>
    <n v="19800000"/>
    <n v="16540000"/>
    <n v="9280000"/>
    <n v="10340000"/>
    <n v="11910000"/>
    <n v="7279079"/>
    <m/>
    <m/>
    <m/>
    <n v="7514907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6"/>
    <x v="1"/>
    <x v="1"/>
    <n v="19330000"/>
    <n v="17660000"/>
    <n v="11250000"/>
    <n v="5810000"/>
    <n v="9710000"/>
    <n v="23660000"/>
    <n v="18560000"/>
    <n v="12300000"/>
    <n v="21420000"/>
    <n v="3250000"/>
    <n v="3250000"/>
    <n v="3250000"/>
    <n v="149450000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0"/>
    <x v="0"/>
    <n v="9181746.0000000019"/>
    <n v="12461991"/>
    <n v="13482629"/>
    <n v="2856378"/>
    <m/>
    <m/>
    <m/>
    <m/>
    <m/>
    <m/>
    <m/>
    <m/>
    <n v="37982744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1"/>
    <x v="0"/>
    <n v="9126664.6500000004"/>
    <n v="5379997.2300000004"/>
    <n v="6099997.7999999998"/>
    <n v="5220004.3600000003"/>
    <n v="4568462.54"/>
    <n v="3797269.97"/>
    <n v="3774374.75"/>
    <n v="2502657.2199999997"/>
    <n v="1696500.95"/>
    <m/>
    <m/>
    <m/>
    <n v="42165929.46999999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0"/>
    <x v="1"/>
    <x v="0"/>
    <x v="4"/>
    <x v="7"/>
    <x v="1"/>
    <x v="1"/>
    <n v="4385385.3699999992"/>
    <n v="1848439.54"/>
    <n v="7086679.5200000005"/>
    <n v="2877013.22"/>
    <n v="6254546.29"/>
    <n v="5401937.4799999995"/>
    <n v="4377641.4400000004"/>
    <n v="4775136.1900000004"/>
    <n v="4447598.9899999993"/>
    <m/>
    <m/>
    <m/>
    <n v="41454378.040000007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4"/>
    <x v="0"/>
    <x v="0"/>
    <m/>
    <m/>
    <m/>
    <n v="1273238"/>
    <n v="1089003"/>
    <n v="699567"/>
    <n v="674164"/>
    <n v="1126318"/>
    <n v="1072079"/>
    <m/>
    <m/>
    <m/>
    <n v="5934369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0"/>
    <x v="0"/>
    <n v="48254"/>
    <n v="58009"/>
    <n v="67371"/>
    <n v="13622"/>
    <m/>
    <m/>
    <m/>
    <m/>
    <m/>
    <m/>
    <m/>
    <m/>
    <n v="187256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1"/>
    <x v="0"/>
    <n v="2252.6400000000099"/>
    <n v="1484.5200000000091"/>
    <n v="551.0300000000093"/>
    <n v="384.46000000000856"/>
    <n v="374.29000000000838"/>
    <n v="396.04000000000849"/>
    <n v="290.54000000000752"/>
    <n v="281.80000000000717"/>
    <n v="283.62000000000671"/>
    <m/>
    <m/>
    <m/>
    <n v="6298.9400000000733"/>
    <m/>
    <m/>
    <m/>
    <m/>
    <m/>
    <m/>
    <m/>
    <m/>
    <m/>
    <m/>
    <m/>
    <m/>
    <n v="0"/>
    <m/>
    <m/>
    <m/>
    <m/>
    <m/>
    <m/>
    <m/>
    <m/>
  </r>
  <r>
    <x v="0"/>
    <x v="0"/>
    <s v="Банкострахование"/>
    <x v="0"/>
    <x v="0"/>
    <x v="0"/>
    <x v="1"/>
    <x v="1"/>
    <x v="0"/>
    <x v="5"/>
    <x v="8"/>
    <x v="1"/>
    <x v="1"/>
    <n v="4428539.9800000191"/>
    <n v="4067644.7500000196"/>
    <n v="4066931.9100000197"/>
    <n v="4266778.620000015"/>
    <n v="4555055.6300000111"/>
    <n v="3888445.3800000101"/>
    <n v="3958772.440000006"/>
    <n v="3474961.9400000013"/>
    <n v="3155161.1100000055"/>
    <n v="3000000"/>
    <n v="3000000"/>
    <n v="3000000"/>
    <n v="44862291.760000102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0"/>
    <x v="0"/>
    <x v="0"/>
    <x v="0"/>
    <m/>
    <n v="170000"/>
    <n v="13210990"/>
    <n v="2860000"/>
    <n v="66890000"/>
    <n v="6982000"/>
    <n v="7119907.0000000298"/>
    <n v="9239999.9999999702"/>
    <n v="10773123.340000033"/>
    <m/>
    <m/>
    <m/>
    <n v="117246020.34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0"/>
    <n v="3020000"/>
    <n v="6540000"/>
    <n v="4950000"/>
    <n v="3800000"/>
    <n v="1970000"/>
    <n v="1420000"/>
    <n v="8950000"/>
    <n v="12330000"/>
    <n v="11710000"/>
    <m/>
    <m/>
    <n v="3500000"/>
    <n v="58190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0"/>
    <x v="0"/>
    <x v="2"/>
    <x v="2"/>
    <x v="1"/>
    <x v="1"/>
    <n v="1120000"/>
    <m/>
    <m/>
    <m/>
    <m/>
    <m/>
    <m/>
    <m/>
    <m/>
    <m/>
    <m/>
    <m/>
    <n v="1120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6"/>
    <x v="9"/>
    <x v="0"/>
    <x v="0"/>
    <n v="0"/>
    <n v="85000000"/>
    <n v="60000000"/>
    <n v="80000000"/>
    <n v="0"/>
    <n v="0"/>
    <n v="0"/>
    <n v="30000000"/>
    <n v="0"/>
    <m/>
    <m/>
    <m/>
    <n v="25500000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4"/>
    <x v="0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7"/>
    <x v="1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0"/>
    <x v="1"/>
    <x v="0"/>
    <x v="4"/>
    <x v="7"/>
    <x v="1"/>
    <x v="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0"/>
    <x v="1"/>
    <x v="1"/>
    <n v="18410376.559999999"/>
    <n v="21487152.879999995"/>
    <n v="47554502.279999994"/>
    <n v="19857180.420000009"/>
    <n v="38031109.739999995"/>
    <n v="29276082.130000003"/>
    <n v="36137477.969999991"/>
    <n v="28538487.310000002"/>
    <n v="18640075.370000001"/>
    <m/>
    <m/>
    <m/>
    <n v="257932444.66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1"/>
    <x v="1"/>
    <x v="1"/>
    <n v="20658385.099999998"/>
    <n v="30591992.93"/>
    <n v="23807663.079999994"/>
    <n v="57329914.210000008"/>
    <n v="32240017.790000003"/>
    <n v="43752002.140000001"/>
    <n v="30135268.539999999"/>
    <n v="18398510.560000002"/>
    <n v="18218175.93"/>
    <m/>
    <m/>
    <m/>
    <n v="275131930.2799999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2"/>
    <x v="1"/>
    <x v="1"/>
    <n v="5831098.0100000007"/>
    <n v="6117249.4900000002"/>
    <n v="7756441.2599999988"/>
    <n v="4418466.3"/>
    <n v="5748158.3200000003"/>
    <n v="9817342.2199999969"/>
    <n v="3900115.4199999995"/>
    <n v="6670744.4300000006"/>
    <n v="10019313.260000002"/>
    <m/>
    <m/>
    <m/>
    <n v="60278928.70999999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3"/>
    <x v="1"/>
    <x v="1"/>
    <n v="13187632.860000003"/>
    <n v="12480846.390000001"/>
    <n v="7726525.5399999972"/>
    <n v="19139303.710000001"/>
    <n v="15472514.959999992"/>
    <n v="18532815.420000009"/>
    <n v="14041566.560000001"/>
    <n v="11396479.759999996"/>
    <n v="15022084.199999996"/>
    <m/>
    <m/>
    <m/>
    <n v="126999769.3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9"/>
    <x v="1"/>
    <x v="1"/>
    <n v="503886.87000000023"/>
    <n v="5027505.5200000005"/>
    <n v="1765599.6800000006"/>
    <n v="4102683.1300000008"/>
    <n v="1189403.2000000007"/>
    <n v="1983821.3800000004"/>
    <n v="1014276.8500000017"/>
    <n v="1549964.6399999987"/>
    <n v="2316840.2499999958"/>
    <m/>
    <m/>
    <m/>
    <n v="19453981.52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0"/>
    <x v="0"/>
    <n v="26751017.059999999"/>
    <n v="54354258.050000012"/>
    <n v="94008405.940000013"/>
    <n v="103447557.15000001"/>
    <n v="74110009.12000002"/>
    <n v="134349725.49000001"/>
    <n v="65855565.310000002"/>
    <n v="116708131.87"/>
    <n v="19812749.850000001"/>
    <n v="56000000"/>
    <n v="25000000"/>
    <n v="25000000"/>
    <n v="795397419.8400001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1"/>
    <x v="0"/>
    <n v="431915.26"/>
    <n v="1969383.93"/>
    <m/>
    <n v="665749.28999999992"/>
    <n v="486687.65"/>
    <n v="175422.25"/>
    <n v="407935.73000000004"/>
    <n v="49748.26"/>
    <m/>
    <m/>
    <m/>
    <m/>
    <n v="4186842.3699999996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4"/>
    <x v="1"/>
    <x v="1"/>
    <m/>
    <n v="1636296.94"/>
    <n v="1276658.33"/>
    <n v="710630.34"/>
    <n v="1989930.24"/>
    <n v="1801710.6999999997"/>
    <n v="2818489.9999999991"/>
    <n v="3919556.7299999977"/>
    <n v="3441442.8099999996"/>
    <n v="79714940.157021701"/>
    <n v="73347001.357442558"/>
    <n v="167058237.87011611"/>
    <n v="337714895.4745803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0"/>
    <x v="1"/>
    <x v="0"/>
    <x v="7"/>
    <x v="15"/>
    <x v="0"/>
    <x v="0"/>
    <m/>
    <m/>
    <m/>
    <m/>
    <m/>
    <m/>
    <m/>
    <n v="36750208.189999998"/>
    <n v="63622877.580000013"/>
    <n v="629000000"/>
    <n v="350000000"/>
    <n v="350000000"/>
    <n v="1429373085.77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8"/>
    <x v="16"/>
    <x v="1"/>
    <x v="0"/>
    <m/>
    <m/>
    <m/>
    <m/>
    <m/>
    <m/>
    <m/>
    <m/>
    <m/>
    <m/>
    <n v="24112000"/>
    <m/>
    <n v="2411200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9"/>
    <x v="9"/>
    <x v="1"/>
    <x v="1"/>
    <n v="86937.209999999992"/>
    <n v="0"/>
    <n v="52231.56"/>
    <n v="19451.63"/>
    <n v="48014.149999999994"/>
    <n v="112944.58000000002"/>
    <n v="0"/>
    <n v="38708.199999999997"/>
    <n v="-2700.99"/>
    <m/>
    <m/>
    <m/>
    <n v="355586.34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0"/>
    <x v="0"/>
    <n v="6994506.4199999999"/>
    <n v="6031821.9399999995"/>
    <n v="7127830"/>
    <n v="8688472.879999999"/>
    <n v="9601411.8300000019"/>
    <n v="7724261.4899999993"/>
    <n v="5209832.8100000005"/>
    <n v="6790333.6100000003"/>
    <n v="5058978.2300000004"/>
    <n v="2500000"/>
    <n v="2500000"/>
    <n v="2500000"/>
    <n v="70727449.210000008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1"/>
    <x v="0"/>
    <n v="68.529999999999987"/>
    <n v="108.78999999999999"/>
    <n v="70"/>
    <n v="91.179999999999993"/>
    <n v="89.759999999999991"/>
    <n v="37.36"/>
    <n v="63.19"/>
    <n v="21.41"/>
    <n v="13.440000000000001"/>
    <m/>
    <m/>
    <m/>
    <n v="563.66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10"/>
    <x v="17"/>
    <x v="1"/>
    <x v="1"/>
    <n v="28937.750000000437"/>
    <n v="25307.520000000313"/>
    <n v="25190"/>
    <n v="24821.58"/>
    <n v="23877.66"/>
    <n v="23271.49"/>
    <n v="22613.64"/>
    <n v="22774.85"/>
    <n v="21838.7"/>
    <n v="9900"/>
    <n v="9900"/>
    <n v="9900"/>
    <n v="248333.1900000007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1"/>
    <x v="9"/>
    <x v="1"/>
    <x v="0"/>
    <m/>
    <m/>
    <m/>
    <n v="0"/>
    <m/>
    <n v="0"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1"/>
    <x v="9"/>
    <x v="1"/>
    <x v="1"/>
    <n v="462576.39999999997"/>
    <n v="413099.11999999982"/>
    <n v="402065.42999999988"/>
    <n v="-430844.41000000038"/>
    <n v="-9312.31"/>
    <m/>
    <m/>
    <m/>
    <m/>
    <m/>
    <m/>
    <m/>
    <n v="837584.22999999928"/>
    <m/>
    <m/>
    <m/>
    <m/>
    <m/>
    <m/>
    <m/>
    <m/>
    <m/>
    <m/>
    <m/>
    <m/>
    <n v="0"/>
    <m/>
    <m/>
    <m/>
    <m/>
    <m/>
    <m/>
    <m/>
    <m/>
  </r>
  <r>
    <x v="0"/>
    <x v="0"/>
    <s v="Розница (прочее)"/>
    <x v="0"/>
    <x v="0"/>
    <x v="0"/>
    <x v="1"/>
    <x v="1"/>
    <x v="0"/>
    <x v="5"/>
    <x v="8"/>
    <x v="1"/>
    <x v="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2"/>
    <x v="9"/>
    <x v="1"/>
    <x v="1"/>
    <n v="194550"/>
    <n v="100440"/>
    <n v="153780"/>
    <n v="98370"/>
    <n v="129930"/>
    <n v="-28500"/>
    <n v="337050"/>
    <n v="146520"/>
    <n v="117720"/>
    <m/>
    <m/>
    <m/>
    <n v="124986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1"/>
    <x v="1"/>
    <x v="1"/>
    <n v="1719153.4399999995"/>
    <n v="2903456.9900000012"/>
    <n v="3193643.29"/>
    <n v="6788573.6399999978"/>
    <n v="3567001.2800000007"/>
    <n v="4466264.5200000014"/>
    <n v="3125808.8300000015"/>
    <n v="1918338.17"/>
    <n v="1348743.4400000002"/>
    <m/>
    <m/>
    <m/>
    <n v="29030983.60000000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2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3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9"/>
    <x v="1"/>
    <x v="1"/>
    <n v="0"/>
    <n v="235425.91"/>
    <n v="163893.59000000003"/>
    <n v="320813.72000000003"/>
    <n v="106642.95"/>
    <n v="198399.49"/>
    <n v="0"/>
    <n v="118542.16"/>
    <n v="184080.93"/>
    <m/>
    <m/>
    <m/>
    <n v="1327798.749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0"/>
    <x v="0"/>
    <n v="0"/>
    <n v="559581.13"/>
    <n v="0"/>
    <n v="50823.53"/>
    <n v="0"/>
    <n v="0"/>
    <n v="134664.35999999999"/>
    <n v="127073.53"/>
    <n v="0"/>
    <m/>
    <m/>
    <m/>
    <n v="872142.5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1"/>
    <x v="0"/>
    <n v="165899.1"/>
    <n v="50650.28"/>
    <m/>
    <n v="248932.34000000003"/>
    <n v="56580.31"/>
    <n v="123690.05"/>
    <n v="0"/>
    <n v="0"/>
    <m/>
    <m/>
    <m/>
    <m/>
    <n v="645752.0800000000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4"/>
    <x v="1"/>
    <x v="1"/>
    <m/>
    <n v="0"/>
    <n v="93481.260000000009"/>
    <n v="0"/>
    <n v="0"/>
    <n v="288949.26999999996"/>
    <n v="0"/>
    <n v="378608.51"/>
    <n v="311142.25"/>
    <m/>
    <m/>
    <m/>
    <n v="1072181.29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3"/>
    <x v="15"/>
    <x v="0"/>
    <x v="0"/>
    <m/>
    <m/>
    <m/>
    <m/>
    <m/>
    <m/>
    <m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0"/>
    <x v="1"/>
    <x v="1"/>
    <n v="697642.01000000013"/>
    <n v="677502.2300000001"/>
    <n v="1442385.3699999999"/>
    <n v="658666.83000000031"/>
    <n v="1339429.29"/>
    <n v="1026118.3"/>
    <n v="1706540.3200000003"/>
    <n v="1115847.02"/>
    <n v="646942.69999999995"/>
    <m/>
    <m/>
    <m/>
    <n v="9311074.0700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1"/>
    <x v="0"/>
    <x v="0"/>
    <n v="0"/>
    <m/>
    <m/>
    <m/>
    <m/>
    <m/>
    <m/>
    <m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1"/>
    <x v="1"/>
    <x v="1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2"/>
    <x v="0"/>
    <x v="0"/>
    <n v="0"/>
    <n v="0"/>
    <n v="0"/>
    <n v="0"/>
    <n v="0"/>
    <n v="0"/>
    <n v="0"/>
    <n v="0"/>
    <n v="0"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2"/>
    <x v="1"/>
    <x v="1"/>
    <n v="120954.23999999998"/>
    <n v="211945.97"/>
    <n v="316812.58999999997"/>
    <n v="203266.75999999998"/>
    <n v="321246.90999999997"/>
    <n v="349447.41999999987"/>
    <n v="218992.66"/>
    <n v="248166.39"/>
    <n v="707296.64"/>
    <m/>
    <m/>
    <m/>
    <n v="2698129.5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3"/>
    <x v="0"/>
    <x v="0"/>
    <m/>
    <n v="0"/>
    <m/>
    <m/>
    <m/>
    <m/>
    <m/>
    <n v="0"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3"/>
    <x v="1"/>
    <x v="1"/>
    <n v="711068.82000000007"/>
    <n v="771552.69999999972"/>
    <n v="348038.06000000017"/>
    <n v="937711.00999999966"/>
    <n v="882565.49"/>
    <n v="925882.35"/>
    <n v="831597.06000000017"/>
    <n v="698690.93"/>
    <n v="880706.69000000006"/>
    <m/>
    <m/>
    <m/>
    <n v="6987813.1100000003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9"/>
    <x v="0"/>
    <x v="0"/>
    <m/>
    <n v="0"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9"/>
    <x v="1"/>
    <x v="1"/>
    <n v="26113.130000000019"/>
    <n v="219939.05"/>
    <n v="23053.529999999992"/>
    <n v="25087.449999999997"/>
    <n v="24886.85"/>
    <n v="23328.270000000004"/>
    <n v="45723.149999999958"/>
    <n v="20359.39000000001"/>
    <n v="60776.729999999945"/>
    <m/>
    <m/>
    <m/>
    <n v="469267.54999999987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0"/>
    <x v="0"/>
    <n v="72027.840000000011"/>
    <n v="170398.84000000003"/>
    <n v="440943.11"/>
    <n v="280814.12"/>
    <n v="259822.40000000002"/>
    <n v="415859.17"/>
    <n v="177642.74000000005"/>
    <n v="739912.79"/>
    <n v="52904.77"/>
    <m/>
    <m/>
    <m/>
    <n v="2610325.7799999998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1"/>
    <x v="0"/>
    <n v="2185.64"/>
    <n v="9965.7900000000009"/>
    <m/>
    <n v="4084.37"/>
    <n v="2473.14"/>
    <n v="887.7"/>
    <n v="2064.27"/>
    <n v="251.74"/>
    <m/>
    <m/>
    <m/>
    <m/>
    <n v="21912.65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4"/>
    <x v="1"/>
    <x v="1"/>
    <m/>
    <n v="15973.060000000001"/>
    <n v="6372.630000000001"/>
    <n v="3613.16"/>
    <n v="10069.76"/>
    <n v="9340.0299999999988"/>
    <n v="14510.000000000002"/>
    <n v="19850.760000000009"/>
    <n v="17414.940000000002"/>
    <m/>
    <m/>
    <m/>
    <n v="97144.340000000011"/>
    <m/>
    <m/>
    <m/>
    <m/>
    <m/>
    <m/>
    <m/>
    <m/>
    <m/>
    <m/>
    <m/>
    <m/>
    <n v="0"/>
    <m/>
    <m/>
    <m/>
    <m/>
    <m/>
    <m/>
    <m/>
    <m/>
  </r>
  <r>
    <x v="0"/>
    <x v="0"/>
    <s v="WM"/>
    <x v="0"/>
    <x v="0"/>
    <x v="0"/>
    <x v="1"/>
    <x v="1"/>
    <x v="0"/>
    <x v="14"/>
    <x v="15"/>
    <x v="0"/>
    <x v="0"/>
    <m/>
    <m/>
    <m/>
    <m/>
    <m/>
    <m/>
    <m/>
    <n v="17791.810000000001"/>
    <n v="27122.420000000002"/>
    <m/>
    <m/>
    <m/>
    <n v="44914.23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5"/>
    <x v="18"/>
    <x v="0"/>
    <x v="0"/>
    <n v="45539489.99000001"/>
    <n v="50830397"/>
    <n v="30800558"/>
    <n v="44427530"/>
    <n v="32141234"/>
    <n v="30905468"/>
    <n v="11352350"/>
    <n v="-5019691"/>
    <n v="1500000"/>
    <n v="3500000"/>
    <n v="18000000"/>
    <n v="18000000"/>
    <n v="281977335.99000001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19"/>
    <x v="1"/>
    <x v="0"/>
    <n v="5161000"/>
    <n v="5430000"/>
    <n v="30567141"/>
    <n v="182645099"/>
    <n v="128578411"/>
    <n v="170568819"/>
    <n v="376180767"/>
    <n v="301890939"/>
    <n v="243518456"/>
    <n v="100000000"/>
    <n v="100000000"/>
    <n v="100000000"/>
    <n v="1744540632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19"/>
    <x v="1"/>
    <x v="1"/>
    <n v="500000"/>
    <n v="13959000"/>
    <n v="3857000"/>
    <n v="8646000"/>
    <n v="8308245"/>
    <n v="19265000"/>
    <n v="6968500"/>
    <n v="20081500"/>
    <n v="15880000"/>
    <m/>
    <m/>
    <m/>
    <n v="97465245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0"/>
    <x v="0"/>
    <x v="0"/>
    <m/>
    <m/>
    <m/>
    <m/>
    <m/>
    <m/>
    <m/>
    <n v="-100000"/>
    <m/>
    <m/>
    <m/>
    <m/>
    <n v="-100000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0"/>
    <x v="1"/>
    <x v="1"/>
    <n v="4102937.6100000003"/>
    <n v="9117569.7300000004"/>
    <n v="7554226.96"/>
    <n v="4823647.2299999986"/>
    <n v="3818611.6400000006"/>
    <n v="7382926.9800000004"/>
    <n v="4916093.7100000009"/>
    <n v="7302852.1899999995"/>
    <n v="8463386.3800000008"/>
    <m/>
    <m/>
    <m/>
    <n v="57482252.430000007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1"/>
    <x v="0"/>
    <x v="0"/>
    <n v="184234362"/>
    <n v="71951023"/>
    <n v="41510107"/>
    <n v="31571337"/>
    <n v="42271839"/>
    <n v="59661440"/>
    <n v="77644727"/>
    <n v="36824903"/>
    <n v="40012536"/>
    <n v="40000000"/>
    <n v="40000000"/>
    <n v="40000000"/>
    <n v="70568227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0"/>
    <x v="2"/>
    <x v="0"/>
    <x v="16"/>
    <x v="21"/>
    <x v="1"/>
    <x v="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0"/>
    <x v="0"/>
    <n v="29598275"/>
    <n v="43318615.14000009"/>
    <n v="41185353.330000013"/>
    <n v="31711438.149999999"/>
    <n v="37241320.68000003"/>
    <n v="39942753.100000031"/>
    <n v="31785967.920000006"/>
    <n v="47125237.569999985"/>
    <n v="37955581.589999996"/>
    <n v="6000000"/>
    <n v="6000000"/>
    <n v="6000000"/>
    <n v="357864542.4800001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1"/>
    <x v="0"/>
    <n v="-396087.61000000127"/>
    <n v="-465260.79999999999"/>
    <n v="-680380.12"/>
    <n v="-412377.15"/>
    <n v="-427468.39"/>
    <n v="-333015.81"/>
    <n v="-220919.52"/>
    <n v="-332936.25"/>
    <n v="-340227.61"/>
    <m/>
    <m/>
    <m/>
    <n v="-3608673.2600000012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2"/>
    <x v="1"/>
    <x v="1"/>
    <m/>
    <m/>
    <m/>
    <m/>
    <m/>
    <m/>
    <m/>
    <m/>
    <m/>
    <n v="-12652532.720478892"/>
    <n v="-12488361.394473061"/>
    <n v="-12294950.513655204"/>
    <n v="-37435844.628607154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7"/>
    <x v="20"/>
    <x v="0"/>
    <x v="0"/>
    <n v="3344921.9799999995"/>
    <n v="3374072.41"/>
    <n v="3535166.62"/>
    <n v="3550980.32"/>
    <n v="3910022.57"/>
    <n v="3994493.98"/>
    <n v="4234945.2700000005"/>
    <n v="4395425.1400000006"/>
    <n v="4066721.2200000007"/>
    <n v="3000000"/>
    <n v="3000000"/>
    <n v="3000000"/>
    <n v="43406749.509999998"/>
    <m/>
    <m/>
    <m/>
    <m/>
    <m/>
    <m/>
    <m/>
    <m/>
    <m/>
    <m/>
    <m/>
    <m/>
    <n v="0"/>
    <m/>
    <m/>
    <m/>
    <m/>
    <m/>
    <m/>
    <m/>
    <m/>
  </r>
  <r>
    <x v="0"/>
    <x v="1"/>
    <s v="Уралсиб"/>
    <x v="0"/>
    <x v="0"/>
    <x v="0"/>
    <x v="1"/>
    <x v="2"/>
    <x v="0"/>
    <x v="18"/>
    <x v="20"/>
    <x v="1"/>
    <x v="1"/>
    <n v="5914"/>
    <n v="18703.260000000002"/>
    <n v="21062"/>
    <n v="9033"/>
    <n v="-4998"/>
    <n v="8023"/>
    <n v="7745.66"/>
    <n v="7951.42"/>
    <n v="7546.99"/>
    <m/>
    <m/>
    <m/>
    <n v="80981.33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  <r>
    <x v="0"/>
    <x v="2"/>
    <m/>
    <x v="1"/>
    <x v="0"/>
    <x v="0"/>
    <x v="2"/>
    <x v="3"/>
    <x v="0"/>
    <x v="19"/>
    <x v="23"/>
    <x v="2"/>
    <x v="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11" cacheId="1" applyNumberFormats="0" applyBorderFormats="0" applyFontFormats="0" applyPatternFormats="0" applyAlignmentFormats="0" applyWidthHeightFormats="1" dataCaption="Значения" updatedVersion="6" minRefreshableVersion="3" colGrandTotals="0" itemPrintTitles="1" createdVersion="6" indent="0" outline="1" outlineData="1" multipleFieldFilters="0">
  <location ref="A10:AC34" firstHeaderRow="0" firstDataRow="1" firstDataCol="1" rowPageCount="7" colPageCount="1"/>
  <pivotFields count="50">
    <pivotField axis="axisPage" showAll="0">
      <items count="3">
        <item m="1" x="1"/>
        <item x="0"/>
        <item t="default"/>
      </items>
    </pivotField>
    <pivotField axis="axisPage" showAll="0">
      <items count="10">
        <item m="1" x="4"/>
        <item m="1" x="6"/>
        <item m="1" x="5"/>
        <item m="1" x="3"/>
        <item x="0"/>
        <item m="1" x="8"/>
        <item m="1" x="7"/>
        <item x="2"/>
        <item x="1"/>
        <item t="default"/>
      </items>
    </pivotField>
    <pivotField showAll="0"/>
    <pivotField axis="axisPage" showAll="0">
      <items count="63">
        <item m="1" x="10"/>
        <item m="1" x="32"/>
        <item m="1" x="60"/>
        <item m="1" x="22"/>
        <item m="1" x="56"/>
        <item m="1" x="30"/>
        <item m="1" x="55"/>
        <item m="1" x="54"/>
        <item m="1" x="28"/>
        <item m="1" x="29"/>
        <item m="1" x="47"/>
        <item m="1" x="8"/>
        <item m="1" x="38"/>
        <item m="1" x="50"/>
        <item m="1" x="19"/>
        <item m="1" x="48"/>
        <item m="1" x="46"/>
        <item m="1" x="17"/>
        <item m="1" x="45"/>
        <item m="1" x="16"/>
        <item m="1" x="13"/>
        <item m="1" x="41"/>
        <item m="1" x="12"/>
        <item m="1" x="40"/>
        <item m="1" x="11"/>
        <item m="1" x="9"/>
        <item m="1" x="39"/>
        <item m="1" x="23"/>
        <item m="1" x="5"/>
        <item m="1" x="36"/>
        <item m="1" x="4"/>
        <item m="1" x="27"/>
        <item m="1" x="43"/>
        <item m="1" x="7"/>
        <item m="1" x="24"/>
        <item m="1" x="26"/>
        <item m="1" x="61"/>
        <item m="1" x="58"/>
        <item m="1" x="53"/>
        <item m="1" x="25"/>
        <item m="1" x="52"/>
        <item m="1" x="21"/>
        <item m="1" x="51"/>
        <item m="1" x="20"/>
        <item m="1" x="49"/>
        <item m="1" x="18"/>
        <item m="1" x="37"/>
        <item m="1" x="35"/>
        <item m="1" x="3"/>
        <item m="1" x="34"/>
        <item m="1" x="59"/>
        <item m="1" x="33"/>
        <item m="1" x="2"/>
        <item m="1" x="57"/>
        <item m="1" x="31"/>
        <item m="1" x="44"/>
        <item m="1" x="15"/>
        <item m="1" x="42"/>
        <item m="1" x="14"/>
        <item m="1" x="6"/>
        <item x="0"/>
        <item x="1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axis="axisPage" showAll="0">
      <items count="3">
        <item m="1"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sd="0" x="3"/>
        <item t="default"/>
      </items>
    </pivotField>
    <pivotField axis="axisRow" showAll="0">
      <items count="35">
        <item m="1" x="24"/>
        <item m="1" x="10"/>
        <item m="1" x="5"/>
        <item m="1" x="29"/>
        <item m="1" x="16"/>
        <item m="1" x="15"/>
        <item m="1" x="1"/>
        <item m="1" x="17"/>
        <item m="1" x="21"/>
        <item m="1" x="14"/>
        <item m="1" x="28"/>
        <item m="1" x="2"/>
        <item m="1" x="8"/>
        <item m="1" x="3"/>
        <item m="1" x="30"/>
        <item m="1" x="18"/>
        <item m="1" x="9"/>
        <item m="1" x="32"/>
        <item m="1" x="31"/>
        <item m="1" x="27"/>
        <item m="1" x="7"/>
        <item m="1" x="26"/>
        <item m="1" x="20"/>
        <item m="1" x="6"/>
        <item m="1" x="11"/>
        <item m="1" x="33"/>
        <item m="1" x="22"/>
        <item m="1" x="4"/>
        <item m="1" x="13"/>
        <item m="1" x="25"/>
        <item m="1" x="19"/>
        <item m="1" x="23"/>
        <item m="1" x="12"/>
        <item x="0"/>
        <item t="default"/>
      </items>
    </pivotField>
    <pivotField axis="axisRow" showAll="0">
      <items count="35">
        <item sd="0" m="1" x="20"/>
        <item sd="0" m="1" x="32"/>
        <item sd="0" m="1" x="27"/>
        <item sd="0" m="1" x="26"/>
        <item sd="0" x="8"/>
        <item sd="0" m="1" x="25"/>
        <item sd="0" m="1" x="21"/>
        <item sd="0" m="1" x="30"/>
        <item sd="0" x="5"/>
        <item sd="0" m="1" x="28"/>
        <item sd="0" m="1" x="33"/>
        <item sd="0" m="1" x="23"/>
        <item sd="0" m="1" x="24"/>
        <item sd="0" x="0"/>
        <item sd="0" x="2"/>
        <item sd="0" m="1" x="29"/>
        <item sd="0" x="3"/>
        <item sd="0" x="4"/>
        <item sd="0" x="7"/>
        <item sd="0" m="1" x="31"/>
        <item sd="0" m="1" x="22"/>
        <item sd="0" x="13"/>
        <item sd="0" x="14"/>
        <item sd="0" x="1"/>
        <item sd="0" x="6"/>
        <item sd="0" x="9"/>
        <item sd="0" x="10"/>
        <item sd="0" x="11"/>
        <item sd="0" x="12"/>
        <item sd="0" x="15"/>
        <item sd="0" x="16"/>
        <item sd="0" x="17"/>
        <item sd="0" x="18"/>
        <item sd="0" x="19"/>
        <item t="default" sd="0"/>
      </items>
    </pivotField>
    <pivotField axis="axisRow" showAll="0">
      <items count="44">
        <item m="1" x="26"/>
        <item m="1" x="42"/>
        <item m="1" x="25"/>
        <item m="1" x="29"/>
        <item m="1" x="38"/>
        <item m="1" x="24"/>
        <item m="1" x="40"/>
        <item m="1" x="34"/>
        <item m="1" x="31"/>
        <item m="1" x="28"/>
        <item m="1" x="33"/>
        <item m="1" x="30"/>
        <item x="23"/>
        <item x="0"/>
        <item x="2"/>
        <item m="1" x="35"/>
        <item x="3"/>
        <item x="4"/>
        <item m="1" x="41"/>
        <item m="1" x="36"/>
        <item x="7"/>
        <item m="1" x="39"/>
        <item x="14"/>
        <item x="16"/>
        <item m="1" x="37"/>
        <item m="1" x="27"/>
        <item x="8"/>
        <item x="1"/>
        <item m="1" x="32"/>
        <item x="5"/>
        <item x="6"/>
        <item x="9"/>
        <item x="10"/>
        <item x="11"/>
        <item x="12"/>
        <item x="13"/>
        <item x="15"/>
        <item x="17"/>
        <item x="18"/>
        <item x="19"/>
        <item x="20"/>
        <item x="21"/>
        <item x="22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dataField="1" showAll="0"/>
    <pivotField dataField="1" showAll="0"/>
    <pivotField numFmtId="9" showAll="0"/>
    <pivotField numFmtId="9" showAll="0"/>
    <pivotField numFmtId="9" showAll="0"/>
    <pivotField numFmtId="9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5">
    <field x="7"/>
    <field x="9"/>
    <field x="8"/>
    <field x="10"/>
    <field x="12"/>
  </rowFields>
  <rowItems count="24">
    <i>
      <x/>
    </i>
    <i r="1">
      <x v="13"/>
    </i>
    <i r="1">
      <x v="14"/>
    </i>
    <i r="1">
      <x v="23"/>
    </i>
    <i>
      <x v="1"/>
    </i>
    <i r="1">
      <x v="4"/>
    </i>
    <i r="1">
      <x v="8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>
      <x v="2"/>
    </i>
    <i r="1">
      <x v="29"/>
    </i>
    <i r="1">
      <x v="30"/>
    </i>
    <i r="1">
      <x v="31"/>
    </i>
    <i r="1">
      <x v="32"/>
    </i>
    <i>
      <x v="3"/>
    </i>
    <i t="grand">
      <x/>
    </i>
  </rowItems>
  <colFields count="1">
    <field x="-2"/>
  </colFields>
  <colItems count="2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</colItems>
  <pageFields count="7">
    <pageField fld="0" hier="-1"/>
    <pageField fld="6" hier="-1"/>
    <pageField fld="1" hier="-1"/>
    <pageField fld="3" hier="-1"/>
    <pageField fld="4" hier="-1"/>
    <pageField fld="5" hier="-1"/>
    <pageField fld="11" hier="-1"/>
  </pageFields>
  <dataFields count="28">
    <dataField name=" янв.25" fld="13" baseField="0" baseItem="0" numFmtId="3"/>
    <dataField name=" фев.25" fld="14" baseField="0" baseItem="0" numFmtId="3"/>
    <dataField name=" мар.25" fld="15" baseField="0" baseItem="0" numFmtId="3"/>
    <dataField name=" апр.25" fld="16" baseField="0" baseItem="0" numFmtId="3"/>
    <dataField name=" май.25" fld="17" baseField="0" baseItem="0" numFmtId="3"/>
    <dataField name=" июн.25" fld="18" baseField="0" baseItem="0" numFmtId="3"/>
    <dataField name=" июл.25" fld="19" baseField="0" baseItem="0" numFmtId="3"/>
    <dataField name=" авг.25" fld="20" baseField="0" baseItem="0" numFmtId="3"/>
    <dataField name=" сен.25" fld="21" baseField="0" baseItem="0" numFmtId="3"/>
    <dataField name=" окт.25" fld="22" baseField="0" baseItem="0" numFmtId="3"/>
    <dataField name=" ноя.25" fld="23" baseField="0" baseItem="0" numFmtId="3"/>
    <dataField name=" дек.25" fld="24" baseField="0" baseItem="0" numFmtId="3"/>
    <dataField name=" 2025г" fld="47" baseField="0" baseItem="0" numFmtId="3"/>
    <dataField name=" янв.26" fld="26" baseField="0" baseItem="0" numFmtId="3"/>
    <dataField name=" фев.26" fld="27" baseField="0" baseItem="0" numFmtId="3"/>
    <dataField name=" мар.26" fld="28" baseField="0" baseItem="0" numFmtId="3"/>
    <dataField name=" апр.26" fld="29" baseField="0" baseItem="0" numFmtId="3"/>
    <dataField name=" июн.26" fld="31" baseField="0" baseItem="0" numFmtId="3"/>
    <dataField name=" июл.26" fld="32" baseField="0" baseItem="0" numFmtId="3"/>
    <dataField name=" авг.26" fld="33" baseField="0" baseItem="0" numFmtId="3"/>
    <dataField name=" сен.26" fld="34" baseField="0" baseItem="0" numFmtId="3"/>
    <dataField name=" окт.26" fld="35" baseField="0" baseItem="0" numFmtId="3"/>
    <dataField name=" ноя.26" fld="36" baseField="0" baseItem="0" numFmtId="3"/>
    <dataField name=" дек.26" fld="37" baseField="0" baseItem="0" numFmtId="3"/>
    <dataField name=" 2026г" fld="48" baseField="0" baseItem="0" numFmtId="3"/>
    <dataField name=" 2026/2025,%" fld="49" baseField="0" baseItem="0" numFmtId="3"/>
    <dataField name=" 2027" fld="39" baseField="0" baseItem="0"/>
    <dataField name=" 2028" fld="40" baseField="0" baseItem="0"/>
  </dataFields>
  <formats count="13">
    <format dxfId="32">
      <pivotArea dataOnly="0" outline="0" fieldPosition="0">
        <references count="2">
          <reference field="4294967294" count="1">
            <x v="12"/>
          </reference>
          <reference field="6" count="1" selected="0">
            <x v="1"/>
          </reference>
        </references>
      </pivotArea>
    </format>
    <format dxfId="31">
      <pivotArea dataOnly="0" outline="0" fieldPosition="0">
        <references count="1">
          <reference field="4294967294" count="1">
            <x v="12"/>
          </reference>
        </references>
      </pivotArea>
    </format>
    <format dxfId="30">
      <pivotArea dataOnly="0" outline="0" fieldPosition="0">
        <references count="1">
          <reference field="4294967294" count="1">
            <x v="24"/>
          </reference>
        </references>
      </pivotArea>
    </format>
    <format dxfId="29">
      <pivotArea dataOnly="0" outline="0" fieldPosition="0">
        <references count="1">
          <reference field="4294967294" count="2">
            <x v="26"/>
            <x v="27"/>
          </reference>
        </references>
      </pivotArea>
    </format>
    <format dxfId="28">
      <pivotArea dataOnly="0" outline="0" fieldPosition="0">
        <references count="1">
          <reference field="4294967294" count="1">
            <x v="25"/>
          </reference>
        </references>
      </pivotArea>
    </format>
    <format dxfId="27">
      <pivotArea dataOnly="0" outline="0" fieldPosition="0">
        <references count="1">
          <reference field="4294967294" count="1">
            <x v="25"/>
          </reference>
        </references>
      </pivotArea>
    </format>
    <format dxfId="26">
      <pivotArea outline="0" collapsedLevelsAreSubtotals="1" fieldPosition="0">
        <references count="1">
          <reference field="4294967294" count="23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5">
      <pivotArea dataOnly="0" labelOnly="1" outline="0" fieldPosition="0">
        <references count="1">
          <reference field="4294967294" count="23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2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dataOnly="0" fieldPosition="0">
        <references count="1">
          <reference field="7" count="1">
            <x v="0"/>
          </reference>
        </references>
      </pivotArea>
    </format>
    <format dxfId="21">
      <pivotArea dataOnly="0" fieldPosition="0">
        <references count="1">
          <reference field="7" count="1">
            <x v="1"/>
          </reference>
        </references>
      </pivotArea>
    </format>
    <format dxfId="20">
      <pivotArea dataOnly="0" fieldPosition="0">
        <references count="1"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Сводная таблица11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outline="1" outlineData="1" multipleFieldFilters="0">
  <location ref="H45:H118" firstHeaderRow="1" firstDataRow="1" firstDataCol="1"/>
  <pivotFields count="4">
    <pivotField axis="axisRow" showAll="0" defaultSubtotal="0">
      <items count="30">
        <item x="14"/>
        <item x="15"/>
        <item x="16"/>
        <item x="17"/>
        <item x="2"/>
        <item x="20"/>
        <item x="0"/>
        <item x="4"/>
        <item x="7"/>
        <item x="8"/>
        <item x="24"/>
        <item x="5"/>
        <item x="9"/>
        <item x="25"/>
        <item x="26"/>
        <item x="27"/>
        <item x="29"/>
        <item x="10"/>
        <item x="21"/>
        <item x="11"/>
        <item x="1"/>
        <item x="28"/>
        <item x="3"/>
        <item x="6"/>
        <item x="12"/>
        <item x="22"/>
        <item x="18"/>
        <item x="23"/>
        <item x="19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2">
        <item x="0"/>
        <item x="4"/>
        <item x="10"/>
        <item x="11"/>
        <item x="5"/>
        <item x="6"/>
        <item x="8"/>
        <item x="12"/>
        <item x="13"/>
        <item x="14"/>
        <item x="15"/>
        <item x="20"/>
        <item x="1"/>
        <item x="16"/>
        <item x="17"/>
        <item x="2"/>
        <item x="3"/>
        <item x="7"/>
        <item x="18"/>
        <item x="19"/>
        <item x="9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73">
    <i>
      <x/>
    </i>
    <i r="1">
      <x v="6"/>
    </i>
    <i>
      <x v="1"/>
    </i>
    <i r="1">
      <x v="7"/>
    </i>
    <i>
      <x v="2"/>
    </i>
    <i r="1">
      <x v="10"/>
    </i>
    <i>
      <x v="3"/>
    </i>
    <i r="1">
      <x v="23"/>
    </i>
    <i>
      <x v="4"/>
    </i>
    <i r="1">
      <x v="11"/>
    </i>
    <i>
      <x v="5"/>
    </i>
    <i r="1">
      <x v="23"/>
    </i>
    <i>
      <x v="6"/>
    </i>
    <i r="1">
      <x v="5"/>
    </i>
    <i>
      <x v="7"/>
    </i>
    <i r="1">
      <x v="13"/>
    </i>
    <i>
      <x v="8"/>
    </i>
    <i r="1">
      <x v="14"/>
    </i>
    <i>
      <x v="9"/>
    </i>
    <i r="1">
      <x v="15"/>
    </i>
    <i>
      <x v="10"/>
    </i>
    <i r="1">
      <x v="23"/>
    </i>
    <i>
      <x v="11"/>
    </i>
    <i r="1">
      <x v="16"/>
    </i>
    <i r="1">
      <x v="25"/>
    </i>
    <i>
      <x v="12"/>
    </i>
    <i r="1">
      <x v="20"/>
    </i>
    <i>
      <x v="13"/>
    </i>
    <i r="1">
      <x v="8"/>
    </i>
    <i r="1">
      <x v="21"/>
    </i>
    <i>
      <x v="14"/>
    </i>
    <i r="1">
      <x v="23"/>
    </i>
    <i>
      <x v="15"/>
    </i>
    <i r="1">
      <x v="4"/>
    </i>
    <i r="1">
      <x v="8"/>
    </i>
    <i r="1">
      <x v="9"/>
    </i>
    <i r="1">
      <x v="12"/>
    </i>
    <i r="1">
      <x v="17"/>
    </i>
    <i r="1">
      <x v="19"/>
    </i>
    <i r="1">
      <x v="24"/>
    </i>
    <i r="1">
      <x v="29"/>
    </i>
    <i>
      <x v="16"/>
    </i>
    <i r="1">
      <x v="22"/>
    </i>
    <i>
      <x v="17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18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19"/>
    </i>
    <i r="1">
      <x/>
    </i>
    <i r="1">
      <x v="1"/>
    </i>
    <i r="1">
      <x v="2"/>
    </i>
    <i r="1">
      <x v="3"/>
    </i>
    <i r="1">
      <x v="23"/>
    </i>
    <i r="1">
      <x v="26"/>
    </i>
    <i r="1">
      <x v="28"/>
    </i>
    <i>
      <x v="20"/>
    </i>
    <i r="1">
      <x v="18"/>
    </i>
    <i r="1">
      <x v="25"/>
    </i>
    <i r="1">
      <x v="27"/>
    </i>
    <i>
      <x v="21"/>
    </i>
    <i r="1">
      <x v="2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.Компания" displayName="Табл.Компания" ref="G3:G5" totalsRowShown="0" headerRowDxfId="19" dataDxfId="17" headerRowBorderDxfId="18" tableBorderDxfId="16">
  <autoFilter ref="G3:G5" xr:uid="{00000000-0009-0000-0100-000003000000}"/>
  <tableColumns count="1">
    <tableColumn id="1" xr3:uid="{00000000-0010-0000-0000-000001000000}" name="Компания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Табл.НовыеТП" displayName="Табл.НовыеТП" ref="G2:G18" totalsRowShown="0" headerRowDxfId="14" dataDxfId="12" headerRowBorderDxfId="13" tableBorderDxfId="11" totalsRowBorderDxfId="10">
  <autoFilter ref="G2:G18" xr:uid="{00000000-0009-0000-0100-000005000000}"/>
  <tableColumns count="1">
    <tableColumn id="1" xr3:uid="{00000000-0010-0000-0100-000001000000}" name="Новые ТП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табл_Регион_НовыеТП" displayName="табл_Регион_НовыеТП" ref="F2:F18" totalsRowShown="0" headerRowDxfId="8" dataDxfId="6" headerRowBorderDxfId="7" tableBorderDxfId="5" totalsRowBorderDxfId="4">
  <autoFilter ref="F2:F18" xr:uid="{00000000-0009-0000-0100-000006000000}"/>
  <tableColumns count="1">
    <tableColumn id="1" xr3:uid="{00000000-0010-0000-0200-000001000000}" name="Регион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Табл.Сегменты" displayName="Табл.Сегменты" ref="D3:D54" totalsRowShown="0" headerRowDxfId="2" dataDxfId="1">
  <autoFilter ref="D3:D54" xr:uid="{00000000-0009-0000-0100-000007000000}"/>
  <tableColumns count="1">
    <tableColumn id="1" xr3:uid="{00000000-0010-0000-0300-000001000000}" name="Портфел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33"/>
  <sheetViews>
    <sheetView showGridLines="0" workbookViewId="0">
      <pane activePane="bottomRight" state="frozen" topLeftCell="F6" xSplit="5" ySplit="5"/>
      <selection activeCell="F1" pane="topRight" sqref="F1"/>
      <selection activeCell="A6" pane="bottomLeft" sqref="A6"/>
      <selection activeCell="Q19" pane="bottomRight" sqref="Q19"/>
    </sheetView>
  </sheetViews>
  <sheetFormatPr baseColWidth="10" defaultColWidth="8.83203125" defaultRowHeight="15" x14ac:dyDescent="0.2"/>
  <cols>
    <col customWidth="1" max="1" min="1" width="2.1640625"/>
    <col bestFit="1" customWidth="1" max="10" min="6" width="7.5"/>
    <col bestFit="1" customWidth="1" max="11" min="11" width="8.83203125"/>
  </cols>
  <sheetData>
    <row r="1" spans="2:29" x14ac:dyDescent="0.2">
      <c r="X1" s="8" t="s">
        <v>25</v>
      </c>
    </row>
    <row customFormat="1" ht="12" r="2" s="8" spans="2:29" x14ac:dyDescent="0.15">
      <c r="F2" s="8" t="s">
        <v>21</v>
      </c>
      <c r="G2" s="8" t="s">
        <v>21</v>
      </c>
      <c r="H2" s="8" t="s">
        <v>21</v>
      </c>
      <c r="I2" s="8" t="s">
        <v>21</v>
      </c>
      <c r="J2" s="8" t="s">
        <v>21</v>
      </c>
      <c r="K2" s="8" t="s">
        <v>21</v>
      </c>
      <c r="L2" s="8" t="s">
        <v>22</v>
      </c>
      <c r="M2" s="8" t="s">
        <v>22</v>
      </c>
      <c r="N2" s="8" t="s">
        <v>22</v>
      </c>
      <c r="O2" s="8" t="s">
        <v>22</v>
      </c>
      <c r="P2" s="8" t="s">
        <v>22</v>
      </c>
      <c r="Q2" s="8" t="s">
        <v>22</v>
      </c>
      <c r="R2" s="8" t="s">
        <v>22</v>
      </c>
      <c r="S2" s="8" t="s">
        <v>22</v>
      </c>
      <c r="T2" s="8" t="s">
        <v>22</v>
      </c>
      <c r="U2" s="8" t="s">
        <v>22</v>
      </c>
      <c r="V2" s="8" t="s">
        <v>22</v>
      </c>
      <c r="W2" s="8" t="s">
        <v>22</v>
      </c>
      <c r="X2" s="8" t="s">
        <v>24</v>
      </c>
      <c r="Y2" s="8" t="s">
        <v>24</v>
      </c>
      <c r="Z2" s="8" t="s">
        <v>24</v>
      </c>
      <c r="AA2" s="8" t="s">
        <v>24</v>
      </c>
      <c r="AB2" s="8" t="s">
        <v>24</v>
      </c>
      <c r="AC2" s="8" t="s">
        <v>24</v>
      </c>
    </row>
    <row r="3" spans="2:29" x14ac:dyDescent="0.2">
      <c r="F3" s="71" t="s">
        <v>12</v>
      </c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 t="s">
        <v>23</v>
      </c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</row>
    <row r="4" spans="2:29" x14ac:dyDescent="0.2">
      <c r="F4" s="71" t="s">
        <v>12</v>
      </c>
      <c r="G4" s="71"/>
      <c r="H4" s="71"/>
      <c r="I4" s="71"/>
      <c r="J4" s="71"/>
      <c r="K4" s="6"/>
      <c r="L4" s="71" t="s">
        <v>18</v>
      </c>
      <c r="M4" s="71"/>
      <c r="N4" s="71"/>
      <c r="O4" s="71"/>
      <c r="P4" s="71"/>
      <c r="Q4" s="71"/>
      <c r="R4" s="71" t="s">
        <v>12</v>
      </c>
      <c r="S4" s="71"/>
      <c r="T4" s="71"/>
      <c r="U4" s="71"/>
      <c r="V4" s="71"/>
      <c r="W4" s="6"/>
      <c r="X4" s="71" t="s">
        <v>18</v>
      </c>
      <c r="Y4" s="71"/>
      <c r="Z4" s="71"/>
      <c r="AA4" s="71"/>
      <c r="AB4" s="71"/>
      <c r="AC4" s="71"/>
    </row>
    <row r="5" spans="2:29" x14ac:dyDescent="0.2">
      <c r="B5" s="1" t="s">
        <v>7</v>
      </c>
      <c r="C5" s="1" t="s">
        <v>20</v>
      </c>
      <c r="D5" s="1" t="s">
        <v>0</v>
      </c>
      <c r="E5" s="1" t="s">
        <v>10</v>
      </c>
      <c r="F5" s="2" t="s">
        <v>13</v>
      </c>
      <c r="G5" s="7" t="s">
        <v>14</v>
      </c>
      <c r="H5" s="7" t="s">
        <v>15</v>
      </c>
      <c r="I5" s="2" t="s">
        <v>16</v>
      </c>
      <c r="J5" s="2" t="s">
        <v>17</v>
      </c>
      <c r="K5" s="2" t="s">
        <v>19</v>
      </c>
      <c r="L5" s="2" t="s">
        <v>13</v>
      </c>
      <c r="M5" s="7" t="s">
        <v>14</v>
      </c>
      <c r="N5" s="7" t="s">
        <v>15</v>
      </c>
      <c r="O5" s="2" t="s">
        <v>16</v>
      </c>
      <c r="P5" s="2" t="s">
        <v>17</v>
      </c>
      <c r="Q5" s="2" t="s">
        <v>19</v>
      </c>
      <c r="R5" s="2" t="s">
        <v>13</v>
      </c>
      <c r="S5" s="7" t="s">
        <v>14</v>
      </c>
      <c r="T5" s="7" t="s">
        <v>15</v>
      </c>
      <c r="U5" s="2" t="s">
        <v>16</v>
      </c>
      <c r="V5" s="2" t="s">
        <v>17</v>
      </c>
      <c r="W5" s="2" t="s">
        <v>19</v>
      </c>
      <c r="X5" s="2" t="s">
        <v>13</v>
      </c>
      <c r="Y5" s="7" t="s">
        <v>14</v>
      </c>
      <c r="Z5" s="7" t="s">
        <v>15</v>
      </c>
      <c r="AA5" s="2" t="s">
        <v>16</v>
      </c>
      <c r="AB5" s="2" t="s">
        <v>17</v>
      </c>
      <c r="AC5" s="2" t="s">
        <v>19</v>
      </c>
    </row>
    <row r="6" spans="2:29" x14ac:dyDescent="0.2">
      <c r="B6" s="1" t="s">
        <v>4</v>
      </c>
      <c r="C6" s="1" t="s">
        <v>6</v>
      </c>
      <c r="D6" s="1" t="s">
        <v>2</v>
      </c>
      <c r="E6" s="1" t="s">
        <v>3</v>
      </c>
      <c r="F6" s="5">
        <v>100000</v>
      </c>
      <c r="G6" s="5">
        <v>150000</v>
      </c>
      <c r="H6" s="5">
        <v>230000</v>
      </c>
      <c r="I6" s="5">
        <v>450000</v>
      </c>
      <c r="J6" s="5">
        <v>562000</v>
      </c>
      <c r="K6" s="4">
        <f>SUM(F6:J6)</f>
        <v>1492000</v>
      </c>
      <c r="L6" s="11">
        <f>F6/$K$6</f>
        <v>6.7024128686327081E-2</v>
      </c>
      <c r="M6" s="11">
        <f ref="M6:Q6" si="0" t="shared">G6/$K$6</f>
        <v>0.10053619302949061</v>
      </c>
      <c r="N6" s="11">
        <f si="0" t="shared"/>
        <v>0.15415549597855227</v>
      </c>
      <c r="O6" s="11">
        <f si="0" t="shared"/>
        <v>0.30160857908847183</v>
      </c>
      <c r="P6" s="11">
        <f si="0" t="shared"/>
        <v>0.37667560321715815</v>
      </c>
      <c r="Q6" s="12">
        <f si="0" t="shared"/>
        <v>1</v>
      </c>
      <c r="R6" s="5">
        <f>$W$6*X6</f>
        <v>100536.19302949062</v>
      </c>
      <c r="S6" s="5">
        <f ref="S6:V6" si="1" t="shared">$W$6*Y6</f>
        <v>150804.28954423591</v>
      </c>
      <c r="T6" s="5">
        <f si="1" t="shared"/>
        <v>231233.2439678284</v>
      </c>
      <c r="U6" s="5">
        <f si="1" t="shared"/>
        <v>452412.86863270774</v>
      </c>
      <c r="V6" s="5">
        <f si="1" t="shared"/>
        <v>565013.40482573723</v>
      </c>
      <c r="W6" s="4">
        <v>1500000</v>
      </c>
      <c r="X6" s="9">
        <v>6.7024128686327081E-2</v>
      </c>
      <c r="Y6" s="9">
        <v>0.10053619302949061</v>
      </c>
      <c r="Z6" s="9">
        <v>0.15415549597855227</v>
      </c>
      <c r="AA6" s="9">
        <v>0.30160857908847183</v>
      </c>
      <c r="AB6" s="9">
        <v>0.37667560321715815</v>
      </c>
      <c r="AC6" s="3">
        <f>SUM(X6:AB6)</f>
        <v>1</v>
      </c>
    </row>
    <row r="7" spans="2:29" x14ac:dyDescent="0.2">
      <c r="B7" s="1"/>
      <c r="C7" s="1"/>
      <c r="D7" s="1"/>
      <c r="E7" s="1"/>
      <c r="F7" s="5"/>
      <c r="G7" s="5"/>
      <c r="H7" s="5"/>
      <c r="I7" s="5"/>
      <c r="J7" s="5"/>
      <c r="K7" s="4">
        <f ref="K7:K33" si="2" t="shared">SUM(F7:J7)</f>
        <v>0</v>
      </c>
      <c r="L7" s="11"/>
      <c r="M7" s="11"/>
      <c r="N7" s="11"/>
      <c r="O7" s="11"/>
      <c r="P7" s="11"/>
      <c r="Q7" s="12">
        <f ref="Q7:Q33" si="3" t="shared">SUM(L7:P7)</f>
        <v>0</v>
      </c>
      <c r="R7" s="5"/>
      <c r="S7" s="5"/>
      <c r="T7" s="5"/>
      <c r="U7" s="5"/>
      <c r="V7" s="5"/>
      <c r="W7" s="4">
        <f ref="W7:W33" si="4" t="shared">SUM(R7:V7)</f>
        <v>0</v>
      </c>
      <c r="X7" s="10"/>
      <c r="Y7" s="10"/>
      <c r="Z7" s="10"/>
      <c r="AA7" s="10"/>
      <c r="AB7" s="10"/>
      <c r="AC7" s="3">
        <f ref="AC7:AC33" si="5" t="shared">SUM(X7:AB7)</f>
        <v>0</v>
      </c>
    </row>
    <row r="8" spans="2:29" x14ac:dyDescent="0.2">
      <c r="B8" s="1"/>
      <c r="C8" s="1"/>
      <c r="D8" s="1"/>
      <c r="E8" s="1"/>
      <c r="F8" s="5"/>
      <c r="G8" s="5"/>
      <c r="H8" s="5"/>
      <c r="I8" s="5"/>
      <c r="J8" s="5"/>
      <c r="K8" s="4">
        <f si="2" t="shared"/>
        <v>0</v>
      </c>
      <c r="L8" s="11"/>
      <c r="M8" s="11"/>
      <c r="N8" s="11"/>
      <c r="O8" s="11"/>
      <c r="P8" s="11"/>
      <c r="Q8" s="12">
        <f si="3" t="shared"/>
        <v>0</v>
      </c>
      <c r="R8" s="5"/>
      <c r="S8" s="5"/>
      <c r="T8" s="5"/>
      <c r="U8" s="5"/>
      <c r="V8" s="5"/>
      <c r="W8" s="4">
        <f si="4" t="shared"/>
        <v>0</v>
      </c>
      <c r="X8" s="10"/>
      <c r="Y8" s="10"/>
      <c r="Z8" s="10"/>
      <c r="AA8" s="10"/>
      <c r="AB8" s="10"/>
      <c r="AC8" s="3">
        <f si="5" t="shared"/>
        <v>0</v>
      </c>
    </row>
    <row r="9" spans="2:29" x14ac:dyDescent="0.2">
      <c r="B9" s="1"/>
      <c r="C9" s="1"/>
      <c r="D9" s="1"/>
      <c r="E9" s="1"/>
      <c r="F9" s="5"/>
      <c r="G9" s="5"/>
      <c r="H9" s="5"/>
      <c r="I9" s="5"/>
      <c r="J9" s="5"/>
      <c r="K9" s="4">
        <f si="2" t="shared"/>
        <v>0</v>
      </c>
      <c r="L9" s="11"/>
      <c r="M9" s="11"/>
      <c r="N9" s="11"/>
      <c r="O9" s="11"/>
      <c r="P9" s="11"/>
      <c r="Q9" s="12">
        <f si="3" t="shared"/>
        <v>0</v>
      </c>
      <c r="R9" s="5"/>
      <c r="S9" s="5"/>
      <c r="T9" s="5"/>
      <c r="U9" s="5"/>
      <c r="V9" s="5"/>
      <c r="W9" s="4">
        <f si="4" t="shared"/>
        <v>0</v>
      </c>
      <c r="X9" s="10"/>
      <c r="Y9" s="10"/>
      <c r="Z9" s="10"/>
      <c r="AA9" s="10"/>
      <c r="AB9" s="10"/>
      <c r="AC9" s="3">
        <f si="5" t="shared"/>
        <v>0</v>
      </c>
    </row>
    <row r="10" spans="2:29" x14ac:dyDescent="0.2">
      <c r="B10" s="1"/>
      <c r="C10" s="1"/>
      <c r="D10" s="1"/>
      <c r="E10" s="1"/>
      <c r="F10" s="5"/>
      <c r="G10" s="5"/>
      <c r="H10" s="5"/>
      <c r="I10" s="5"/>
      <c r="J10" s="5"/>
      <c r="K10" s="4">
        <f si="2" t="shared"/>
        <v>0</v>
      </c>
      <c r="L10" s="11"/>
      <c r="M10" s="11"/>
      <c r="N10" s="11"/>
      <c r="O10" s="11"/>
      <c r="P10" s="11"/>
      <c r="Q10" s="12">
        <f si="3" t="shared"/>
        <v>0</v>
      </c>
      <c r="R10" s="5"/>
      <c r="S10" s="5"/>
      <c r="T10" s="5"/>
      <c r="U10" s="5"/>
      <c r="V10" s="5"/>
      <c r="W10" s="4">
        <f si="4" t="shared"/>
        <v>0</v>
      </c>
      <c r="X10" s="10"/>
      <c r="Y10" s="10"/>
      <c r="Z10" s="10"/>
      <c r="AA10" s="10"/>
      <c r="AB10" s="10"/>
      <c r="AC10" s="3">
        <f si="5" t="shared"/>
        <v>0</v>
      </c>
    </row>
    <row r="11" spans="2:29" x14ac:dyDescent="0.2">
      <c r="B11" s="1"/>
      <c r="C11" s="1"/>
      <c r="D11" s="1"/>
      <c r="E11" s="1"/>
      <c r="F11" s="5"/>
      <c r="G11" s="5"/>
      <c r="H11" s="5"/>
      <c r="I11" s="5"/>
      <c r="J11" s="5"/>
      <c r="K11" s="4">
        <f si="2" t="shared"/>
        <v>0</v>
      </c>
      <c r="L11" s="11"/>
      <c r="M11" s="11"/>
      <c r="N11" s="11"/>
      <c r="O11" s="11"/>
      <c r="P11" s="11"/>
      <c r="Q11" s="12">
        <f si="3" t="shared"/>
        <v>0</v>
      </c>
      <c r="R11" s="5"/>
      <c r="S11" s="5"/>
      <c r="T11" s="5"/>
      <c r="U11" s="5"/>
      <c r="V11" s="5"/>
      <c r="W11" s="4">
        <f si="4" t="shared"/>
        <v>0</v>
      </c>
      <c r="X11" s="10"/>
      <c r="Y11" s="10"/>
      <c r="Z11" s="10"/>
      <c r="AA11" s="10"/>
      <c r="AB11" s="10"/>
      <c r="AC11" s="3">
        <f si="5" t="shared"/>
        <v>0</v>
      </c>
    </row>
    <row r="12" spans="2:29" x14ac:dyDescent="0.2">
      <c r="B12" s="1"/>
      <c r="C12" s="1"/>
      <c r="D12" s="1"/>
      <c r="E12" s="1"/>
      <c r="F12" s="5"/>
      <c r="G12" s="5"/>
      <c r="H12" s="5"/>
      <c r="I12" s="5"/>
      <c r="J12" s="5"/>
      <c r="K12" s="4">
        <f si="2" t="shared"/>
        <v>0</v>
      </c>
      <c r="L12" s="11"/>
      <c r="M12" s="11"/>
      <c r="N12" s="11"/>
      <c r="O12" s="11"/>
      <c r="P12" s="11"/>
      <c r="Q12" s="12">
        <f si="3" t="shared"/>
        <v>0</v>
      </c>
      <c r="R12" s="5"/>
      <c r="S12" s="5"/>
      <c r="T12" s="5"/>
      <c r="U12" s="5"/>
      <c r="V12" s="5"/>
      <c r="W12" s="4">
        <f si="4" t="shared"/>
        <v>0</v>
      </c>
      <c r="X12" s="10"/>
      <c r="Y12" s="10"/>
      <c r="Z12" s="10"/>
      <c r="AA12" s="10"/>
      <c r="AB12" s="10"/>
      <c r="AC12" s="3">
        <f si="5" t="shared"/>
        <v>0</v>
      </c>
    </row>
    <row r="13" spans="2:29" x14ac:dyDescent="0.2">
      <c r="B13" s="1"/>
      <c r="C13" s="1"/>
      <c r="D13" s="1"/>
      <c r="E13" s="1"/>
      <c r="F13" s="5"/>
      <c r="G13" s="5"/>
      <c r="H13" s="5"/>
      <c r="I13" s="5"/>
      <c r="J13" s="5"/>
      <c r="K13" s="4">
        <f si="2" t="shared"/>
        <v>0</v>
      </c>
      <c r="L13" s="11"/>
      <c r="M13" s="11"/>
      <c r="N13" s="11"/>
      <c r="O13" s="11"/>
      <c r="P13" s="11"/>
      <c r="Q13" s="12">
        <f si="3" t="shared"/>
        <v>0</v>
      </c>
      <c r="R13" s="5"/>
      <c r="S13" s="5"/>
      <c r="T13" s="5"/>
      <c r="U13" s="5"/>
      <c r="V13" s="5"/>
      <c r="W13" s="4">
        <f si="4" t="shared"/>
        <v>0</v>
      </c>
      <c r="X13" s="10"/>
      <c r="Y13" s="10"/>
      <c r="Z13" s="10"/>
      <c r="AA13" s="10"/>
      <c r="AB13" s="10"/>
      <c r="AC13" s="3">
        <f si="5" t="shared"/>
        <v>0</v>
      </c>
    </row>
    <row r="14" spans="2:29" x14ac:dyDescent="0.2">
      <c r="B14" s="1"/>
      <c r="C14" s="1"/>
      <c r="D14" s="1"/>
      <c r="E14" s="1"/>
      <c r="F14" s="5"/>
      <c r="G14" s="5"/>
      <c r="H14" s="5"/>
      <c r="I14" s="5"/>
      <c r="J14" s="5"/>
      <c r="K14" s="4">
        <f si="2" t="shared"/>
        <v>0</v>
      </c>
      <c r="L14" s="11"/>
      <c r="M14" s="11"/>
      <c r="N14" s="11"/>
      <c r="O14" s="11"/>
      <c r="P14" s="11"/>
      <c r="Q14" s="12">
        <f si="3" t="shared"/>
        <v>0</v>
      </c>
      <c r="R14" s="5"/>
      <c r="S14" s="5"/>
      <c r="T14" s="5"/>
      <c r="U14" s="5"/>
      <c r="V14" s="5"/>
      <c r="W14" s="4">
        <f si="4" t="shared"/>
        <v>0</v>
      </c>
      <c r="X14" s="10"/>
      <c r="Y14" s="10"/>
      <c r="Z14" s="10"/>
      <c r="AA14" s="10"/>
      <c r="AB14" s="10"/>
      <c r="AC14" s="3">
        <f si="5" t="shared"/>
        <v>0</v>
      </c>
    </row>
    <row r="15" spans="2:29" x14ac:dyDescent="0.2">
      <c r="B15" s="1"/>
      <c r="C15" s="1"/>
      <c r="D15" s="1"/>
      <c r="E15" s="1"/>
      <c r="F15" s="5"/>
      <c r="G15" s="5"/>
      <c r="H15" s="5"/>
      <c r="I15" s="5"/>
      <c r="J15" s="5"/>
      <c r="K15" s="4">
        <f si="2" t="shared"/>
        <v>0</v>
      </c>
      <c r="L15" s="11"/>
      <c r="M15" s="11"/>
      <c r="N15" s="11"/>
      <c r="O15" s="11"/>
      <c r="P15" s="11"/>
      <c r="Q15" s="12">
        <f si="3" t="shared"/>
        <v>0</v>
      </c>
      <c r="R15" s="5"/>
      <c r="S15" s="5"/>
      <c r="T15" s="5"/>
      <c r="U15" s="5"/>
      <c r="V15" s="5"/>
      <c r="W15" s="4">
        <f si="4" t="shared"/>
        <v>0</v>
      </c>
      <c r="X15" s="10"/>
      <c r="Y15" s="10"/>
      <c r="Z15" s="10"/>
      <c r="AA15" s="10"/>
      <c r="AB15" s="10"/>
      <c r="AC15" s="3">
        <f si="5" t="shared"/>
        <v>0</v>
      </c>
    </row>
    <row r="16" spans="2:29" x14ac:dyDescent="0.2">
      <c r="B16" s="1"/>
      <c r="C16" s="1"/>
      <c r="D16" s="1"/>
      <c r="E16" s="1"/>
      <c r="F16" s="5"/>
      <c r="G16" s="5"/>
      <c r="H16" s="5"/>
      <c r="I16" s="5"/>
      <c r="J16" s="5"/>
      <c r="K16" s="4">
        <f si="2" t="shared"/>
        <v>0</v>
      </c>
      <c r="L16" s="11"/>
      <c r="M16" s="11"/>
      <c r="N16" s="11"/>
      <c r="O16" s="11"/>
      <c r="P16" s="11"/>
      <c r="Q16" s="12">
        <f si="3" t="shared"/>
        <v>0</v>
      </c>
      <c r="R16" s="5"/>
      <c r="S16" s="5"/>
      <c r="T16" s="5"/>
      <c r="U16" s="5"/>
      <c r="V16" s="5"/>
      <c r="W16" s="4">
        <f si="4" t="shared"/>
        <v>0</v>
      </c>
      <c r="X16" s="10"/>
      <c r="Y16" s="10"/>
      <c r="Z16" s="10"/>
      <c r="AA16" s="10"/>
      <c r="AB16" s="10"/>
      <c r="AC16" s="3">
        <f si="5" t="shared"/>
        <v>0</v>
      </c>
    </row>
    <row r="17" spans="2:29" x14ac:dyDescent="0.2">
      <c r="B17" s="1"/>
      <c r="C17" s="1"/>
      <c r="D17" s="1"/>
      <c r="E17" s="1"/>
      <c r="F17" s="5"/>
      <c r="G17" s="5"/>
      <c r="H17" s="5"/>
      <c r="I17" s="5"/>
      <c r="J17" s="5"/>
      <c r="K17" s="4">
        <f si="2" t="shared"/>
        <v>0</v>
      </c>
      <c r="L17" s="11"/>
      <c r="M17" s="11"/>
      <c r="N17" s="11"/>
      <c r="O17" s="11"/>
      <c r="P17" s="11"/>
      <c r="Q17" s="12">
        <f si="3" t="shared"/>
        <v>0</v>
      </c>
      <c r="R17" s="5"/>
      <c r="S17" s="5"/>
      <c r="T17" s="5"/>
      <c r="U17" s="5"/>
      <c r="V17" s="5"/>
      <c r="W17" s="4">
        <f si="4" t="shared"/>
        <v>0</v>
      </c>
      <c r="X17" s="10"/>
      <c r="Y17" s="10"/>
      <c r="Z17" s="10"/>
      <c r="AA17" s="10"/>
      <c r="AB17" s="10"/>
      <c r="AC17" s="3">
        <f si="5" t="shared"/>
        <v>0</v>
      </c>
    </row>
    <row r="18" spans="2:29" x14ac:dyDescent="0.2">
      <c r="B18" s="1"/>
      <c r="C18" s="1"/>
      <c r="D18" s="1"/>
      <c r="E18" s="1"/>
      <c r="F18" s="5"/>
      <c r="G18" s="5"/>
      <c r="H18" s="5"/>
      <c r="I18" s="5"/>
      <c r="J18" s="5"/>
      <c r="K18" s="4">
        <f si="2" t="shared"/>
        <v>0</v>
      </c>
      <c r="L18" s="11"/>
      <c r="M18" s="11"/>
      <c r="N18" s="11"/>
      <c r="O18" s="11"/>
      <c r="P18" s="11"/>
      <c r="Q18" s="12">
        <f si="3" t="shared"/>
        <v>0</v>
      </c>
      <c r="R18" s="5"/>
      <c r="S18" s="5"/>
      <c r="T18" s="5"/>
      <c r="U18" s="5"/>
      <c r="V18" s="5"/>
      <c r="W18" s="4">
        <f si="4" t="shared"/>
        <v>0</v>
      </c>
      <c r="X18" s="10"/>
      <c r="Y18" s="10"/>
      <c r="Z18" s="10"/>
      <c r="AA18" s="10"/>
      <c r="AB18" s="10"/>
      <c r="AC18" s="3">
        <f si="5" t="shared"/>
        <v>0</v>
      </c>
    </row>
    <row r="19" spans="2:29" x14ac:dyDescent="0.2">
      <c r="B19" s="1"/>
      <c r="C19" s="1"/>
      <c r="D19" s="1"/>
      <c r="E19" s="1"/>
      <c r="F19" s="5"/>
      <c r="G19" s="5"/>
      <c r="H19" s="5"/>
      <c r="I19" s="5"/>
      <c r="J19" s="5"/>
      <c r="K19" s="4">
        <f si="2" t="shared"/>
        <v>0</v>
      </c>
      <c r="L19" s="11"/>
      <c r="M19" s="11"/>
      <c r="N19" s="11"/>
      <c r="O19" s="11"/>
      <c r="P19" s="11"/>
      <c r="Q19" s="12">
        <f si="3" t="shared"/>
        <v>0</v>
      </c>
      <c r="R19" s="5"/>
      <c r="S19" s="5"/>
      <c r="T19" s="5"/>
      <c r="U19" s="5"/>
      <c r="V19" s="5"/>
      <c r="W19" s="4">
        <f si="4" t="shared"/>
        <v>0</v>
      </c>
      <c r="X19" s="10"/>
      <c r="Y19" s="10"/>
      <c r="Z19" s="10"/>
      <c r="AA19" s="10"/>
      <c r="AB19" s="10"/>
      <c r="AC19" s="3">
        <f si="5" t="shared"/>
        <v>0</v>
      </c>
    </row>
    <row r="20" spans="2:29" x14ac:dyDescent="0.2">
      <c r="B20" s="1"/>
      <c r="C20" s="1"/>
      <c r="D20" s="1"/>
      <c r="E20" s="1"/>
      <c r="F20" s="5"/>
      <c r="G20" s="5"/>
      <c r="H20" s="5"/>
      <c r="I20" s="5"/>
      <c r="J20" s="5"/>
      <c r="K20" s="4">
        <f si="2" t="shared"/>
        <v>0</v>
      </c>
      <c r="L20" s="11"/>
      <c r="M20" s="11"/>
      <c r="N20" s="11"/>
      <c r="O20" s="11"/>
      <c r="P20" s="11"/>
      <c r="Q20" s="12">
        <f si="3" t="shared"/>
        <v>0</v>
      </c>
      <c r="R20" s="5"/>
      <c r="S20" s="5"/>
      <c r="T20" s="5"/>
      <c r="U20" s="5"/>
      <c r="V20" s="5"/>
      <c r="W20" s="4">
        <f si="4" t="shared"/>
        <v>0</v>
      </c>
      <c r="X20" s="10"/>
      <c r="Y20" s="10"/>
      <c r="Z20" s="10"/>
      <c r="AA20" s="10"/>
      <c r="AB20" s="10"/>
      <c r="AC20" s="3">
        <f si="5" t="shared"/>
        <v>0</v>
      </c>
    </row>
    <row r="21" spans="2:29" x14ac:dyDescent="0.2">
      <c r="B21" s="1"/>
      <c r="C21" s="1"/>
      <c r="D21" s="1"/>
      <c r="E21" s="1"/>
      <c r="F21" s="5"/>
      <c r="G21" s="5"/>
      <c r="H21" s="5"/>
      <c r="I21" s="5"/>
      <c r="J21" s="5"/>
      <c r="K21" s="4">
        <f si="2" t="shared"/>
        <v>0</v>
      </c>
      <c r="L21" s="11"/>
      <c r="M21" s="11"/>
      <c r="N21" s="11"/>
      <c r="O21" s="11"/>
      <c r="P21" s="11"/>
      <c r="Q21" s="12">
        <f si="3" t="shared"/>
        <v>0</v>
      </c>
      <c r="R21" s="5"/>
      <c r="S21" s="5"/>
      <c r="T21" s="5"/>
      <c r="U21" s="5"/>
      <c r="V21" s="5"/>
      <c r="W21" s="4">
        <f si="4" t="shared"/>
        <v>0</v>
      </c>
      <c r="X21" s="10"/>
      <c r="Y21" s="10"/>
      <c r="Z21" s="10"/>
      <c r="AA21" s="10"/>
      <c r="AB21" s="10"/>
      <c r="AC21" s="3">
        <f si="5" t="shared"/>
        <v>0</v>
      </c>
    </row>
    <row r="22" spans="2:29" x14ac:dyDescent="0.2">
      <c r="B22" s="1"/>
      <c r="C22" s="1"/>
      <c r="D22" s="1"/>
      <c r="E22" s="1"/>
      <c r="F22" s="5"/>
      <c r="G22" s="5"/>
      <c r="H22" s="5"/>
      <c r="I22" s="5"/>
      <c r="J22" s="5"/>
      <c r="K22" s="4">
        <f si="2" t="shared"/>
        <v>0</v>
      </c>
      <c r="L22" s="11"/>
      <c r="M22" s="11"/>
      <c r="N22" s="11"/>
      <c r="O22" s="11"/>
      <c r="P22" s="11"/>
      <c r="Q22" s="12">
        <f si="3" t="shared"/>
        <v>0</v>
      </c>
      <c r="R22" s="5"/>
      <c r="S22" s="5"/>
      <c r="T22" s="5"/>
      <c r="U22" s="5"/>
      <c r="V22" s="5"/>
      <c r="W22" s="4">
        <f si="4" t="shared"/>
        <v>0</v>
      </c>
      <c r="X22" s="10"/>
      <c r="Y22" s="10"/>
      <c r="Z22" s="10"/>
      <c r="AA22" s="10"/>
      <c r="AB22" s="10"/>
      <c r="AC22" s="3">
        <f si="5" t="shared"/>
        <v>0</v>
      </c>
    </row>
    <row r="23" spans="2:29" x14ac:dyDescent="0.2">
      <c r="B23" s="1"/>
      <c r="C23" s="1"/>
      <c r="D23" s="1"/>
      <c r="E23" s="1"/>
      <c r="F23" s="5"/>
      <c r="G23" s="5"/>
      <c r="H23" s="5"/>
      <c r="I23" s="5"/>
      <c r="J23" s="5"/>
      <c r="K23" s="4">
        <f si="2" t="shared"/>
        <v>0</v>
      </c>
      <c r="L23" s="11"/>
      <c r="M23" s="11"/>
      <c r="N23" s="11"/>
      <c r="O23" s="11"/>
      <c r="P23" s="11"/>
      <c r="Q23" s="12">
        <f si="3" t="shared"/>
        <v>0</v>
      </c>
      <c r="R23" s="5"/>
      <c r="S23" s="5"/>
      <c r="T23" s="5"/>
      <c r="U23" s="5"/>
      <c r="V23" s="5"/>
      <c r="W23" s="4">
        <f si="4" t="shared"/>
        <v>0</v>
      </c>
      <c r="X23" s="10"/>
      <c r="Y23" s="10"/>
      <c r="Z23" s="10"/>
      <c r="AA23" s="10"/>
      <c r="AB23" s="10"/>
      <c r="AC23" s="3">
        <f si="5" t="shared"/>
        <v>0</v>
      </c>
    </row>
    <row r="24" spans="2:29" x14ac:dyDescent="0.2">
      <c r="B24" s="1"/>
      <c r="C24" s="1"/>
      <c r="D24" s="1"/>
      <c r="E24" s="1"/>
      <c r="F24" s="5"/>
      <c r="G24" s="5"/>
      <c r="H24" s="5"/>
      <c r="I24" s="5"/>
      <c r="J24" s="5"/>
      <c r="K24" s="4">
        <f si="2" t="shared"/>
        <v>0</v>
      </c>
      <c r="L24" s="11"/>
      <c r="M24" s="11"/>
      <c r="N24" s="11"/>
      <c r="O24" s="11"/>
      <c r="P24" s="11"/>
      <c r="Q24" s="12">
        <f si="3" t="shared"/>
        <v>0</v>
      </c>
      <c r="R24" s="5"/>
      <c r="S24" s="5"/>
      <c r="T24" s="5"/>
      <c r="U24" s="5"/>
      <c r="V24" s="5"/>
      <c r="W24" s="4">
        <f si="4" t="shared"/>
        <v>0</v>
      </c>
      <c r="X24" s="10"/>
      <c r="Y24" s="10"/>
      <c r="Z24" s="10"/>
      <c r="AA24" s="10"/>
      <c r="AB24" s="10"/>
      <c r="AC24" s="3">
        <f si="5" t="shared"/>
        <v>0</v>
      </c>
    </row>
    <row r="25" spans="2:29" x14ac:dyDescent="0.2">
      <c r="B25" s="1"/>
      <c r="C25" s="1"/>
      <c r="D25" s="1"/>
      <c r="E25" s="1"/>
      <c r="F25" s="5"/>
      <c r="G25" s="5"/>
      <c r="H25" s="5"/>
      <c r="I25" s="5"/>
      <c r="J25" s="5"/>
      <c r="K25" s="4">
        <f si="2" t="shared"/>
        <v>0</v>
      </c>
      <c r="L25" s="11"/>
      <c r="M25" s="11"/>
      <c r="N25" s="11"/>
      <c r="O25" s="11"/>
      <c r="P25" s="11"/>
      <c r="Q25" s="12">
        <f si="3" t="shared"/>
        <v>0</v>
      </c>
      <c r="R25" s="5"/>
      <c r="S25" s="5"/>
      <c r="T25" s="5"/>
      <c r="U25" s="5"/>
      <c r="V25" s="5"/>
      <c r="W25" s="4">
        <f si="4" t="shared"/>
        <v>0</v>
      </c>
      <c r="X25" s="10"/>
      <c r="Y25" s="10"/>
      <c r="Z25" s="10"/>
      <c r="AA25" s="10"/>
      <c r="AB25" s="10"/>
      <c r="AC25" s="3">
        <f si="5" t="shared"/>
        <v>0</v>
      </c>
    </row>
    <row r="26" spans="2:29" x14ac:dyDescent="0.2">
      <c r="B26" s="1"/>
      <c r="C26" s="1"/>
      <c r="D26" s="1"/>
      <c r="E26" s="1"/>
      <c r="F26" s="5"/>
      <c r="G26" s="5"/>
      <c r="H26" s="5"/>
      <c r="I26" s="5"/>
      <c r="J26" s="5"/>
      <c r="K26" s="4">
        <f si="2" t="shared"/>
        <v>0</v>
      </c>
      <c r="L26" s="11"/>
      <c r="M26" s="11"/>
      <c r="N26" s="11"/>
      <c r="O26" s="11"/>
      <c r="P26" s="11"/>
      <c r="Q26" s="12">
        <f si="3" t="shared"/>
        <v>0</v>
      </c>
      <c r="R26" s="5"/>
      <c r="S26" s="5"/>
      <c r="T26" s="5"/>
      <c r="U26" s="5"/>
      <c r="V26" s="5"/>
      <c r="W26" s="4">
        <f si="4" t="shared"/>
        <v>0</v>
      </c>
      <c r="X26" s="10"/>
      <c r="Y26" s="10"/>
      <c r="Z26" s="10"/>
      <c r="AA26" s="10"/>
      <c r="AB26" s="10"/>
      <c r="AC26" s="3">
        <f si="5" t="shared"/>
        <v>0</v>
      </c>
    </row>
    <row r="27" spans="2:29" x14ac:dyDescent="0.2">
      <c r="B27" s="1"/>
      <c r="C27" s="1"/>
      <c r="D27" s="1"/>
      <c r="E27" s="1"/>
      <c r="F27" s="5"/>
      <c r="G27" s="5"/>
      <c r="H27" s="5"/>
      <c r="I27" s="5"/>
      <c r="J27" s="5"/>
      <c r="K27" s="4">
        <f si="2" t="shared"/>
        <v>0</v>
      </c>
      <c r="L27" s="11"/>
      <c r="M27" s="11"/>
      <c r="N27" s="11"/>
      <c r="O27" s="11"/>
      <c r="P27" s="11"/>
      <c r="Q27" s="12">
        <f si="3" t="shared"/>
        <v>0</v>
      </c>
      <c r="R27" s="5"/>
      <c r="S27" s="5"/>
      <c r="T27" s="5"/>
      <c r="U27" s="5"/>
      <c r="V27" s="5"/>
      <c r="W27" s="4">
        <f si="4" t="shared"/>
        <v>0</v>
      </c>
      <c r="X27" s="10"/>
      <c r="Y27" s="10"/>
      <c r="Z27" s="10"/>
      <c r="AA27" s="10"/>
      <c r="AB27" s="10"/>
      <c r="AC27" s="3">
        <f si="5" t="shared"/>
        <v>0</v>
      </c>
    </row>
    <row r="28" spans="2:29" x14ac:dyDescent="0.2">
      <c r="B28" s="1"/>
      <c r="C28" s="1"/>
      <c r="D28" s="1"/>
      <c r="E28" s="1"/>
      <c r="F28" s="5"/>
      <c r="G28" s="5"/>
      <c r="H28" s="5"/>
      <c r="I28" s="5"/>
      <c r="J28" s="5"/>
      <c r="K28" s="4">
        <f si="2" t="shared"/>
        <v>0</v>
      </c>
      <c r="L28" s="11"/>
      <c r="M28" s="11"/>
      <c r="N28" s="11"/>
      <c r="O28" s="11"/>
      <c r="P28" s="11"/>
      <c r="Q28" s="12">
        <f si="3" t="shared"/>
        <v>0</v>
      </c>
      <c r="R28" s="5"/>
      <c r="S28" s="5"/>
      <c r="T28" s="5"/>
      <c r="U28" s="5"/>
      <c r="V28" s="5"/>
      <c r="W28" s="4">
        <f si="4" t="shared"/>
        <v>0</v>
      </c>
      <c r="X28" s="10"/>
      <c r="Y28" s="10"/>
      <c r="Z28" s="10"/>
      <c r="AA28" s="10"/>
      <c r="AB28" s="10"/>
      <c r="AC28" s="3">
        <f si="5" t="shared"/>
        <v>0</v>
      </c>
    </row>
    <row r="29" spans="2:29" x14ac:dyDescent="0.2">
      <c r="B29" s="1"/>
      <c r="C29" s="1"/>
      <c r="D29" s="1"/>
      <c r="E29" s="1"/>
      <c r="F29" s="5"/>
      <c r="G29" s="5"/>
      <c r="H29" s="5"/>
      <c r="I29" s="5"/>
      <c r="J29" s="5"/>
      <c r="K29" s="4">
        <f si="2" t="shared"/>
        <v>0</v>
      </c>
      <c r="L29" s="11"/>
      <c r="M29" s="11"/>
      <c r="N29" s="11"/>
      <c r="O29" s="11"/>
      <c r="P29" s="11"/>
      <c r="Q29" s="12">
        <f si="3" t="shared"/>
        <v>0</v>
      </c>
      <c r="R29" s="5"/>
      <c r="S29" s="5"/>
      <c r="T29" s="5"/>
      <c r="U29" s="5"/>
      <c r="V29" s="5"/>
      <c r="W29" s="4">
        <f si="4" t="shared"/>
        <v>0</v>
      </c>
      <c r="X29" s="10"/>
      <c r="Y29" s="10"/>
      <c r="Z29" s="10"/>
      <c r="AA29" s="10"/>
      <c r="AB29" s="10"/>
      <c r="AC29" s="3">
        <f si="5" t="shared"/>
        <v>0</v>
      </c>
    </row>
    <row r="30" spans="2:29" x14ac:dyDescent="0.2">
      <c r="B30" s="1"/>
      <c r="C30" s="1"/>
      <c r="D30" s="1"/>
      <c r="E30" s="1"/>
      <c r="F30" s="5"/>
      <c r="G30" s="5"/>
      <c r="H30" s="5"/>
      <c r="I30" s="5"/>
      <c r="J30" s="5"/>
      <c r="K30" s="4">
        <f si="2" t="shared"/>
        <v>0</v>
      </c>
      <c r="L30" s="11"/>
      <c r="M30" s="11"/>
      <c r="N30" s="11"/>
      <c r="O30" s="11"/>
      <c r="P30" s="11"/>
      <c r="Q30" s="12">
        <f si="3" t="shared"/>
        <v>0</v>
      </c>
      <c r="R30" s="5"/>
      <c r="S30" s="5"/>
      <c r="T30" s="5"/>
      <c r="U30" s="5"/>
      <c r="V30" s="5"/>
      <c r="W30" s="4">
        <f si="4" t="shared"/>
        <v>0</v>
      </c>
      <c r="X30" s="10"/>
      <c r="Y30" s="10"/>
      <c r="Z30" s="10"/>
      <c r="AA30" s="10"/>
      <c r="AB30" s="10"/>
      <c r="AC30" s="3">
        <f si="5" t="shared"/>
        <v>0</v>
      </c>
    </row>
    <row r="31" spans="2:29" x14ac:dyDescent="0.2">
      <c r="B31" s="1"/>
      <c r="C31" s="1"/>
      <c r="D31" s="1"/>
      <c r="E31" s="1"/>
      <c r="F31" s="5"/>
      <c r="G31" s="5"/>
      <c r="H31" s="5"/>
      <c r="I31" s="5"/>
      <c r="J31" s="5"/>
      <c r="K31" s="4">
        <f si="2" t="shared"/>
        <v>0</v>
      </c>
      <c r="L31" s="11"/>
      <c r="M31" s="11"/>
      <c r="N31" s="11"/>
      <c r="O31" s="11"/>
      <c r="P31" s="11"/>
      <c r="Q31" s="12">
        <f si="3" t="shared"/>
        <v>0</v>
      </c>
      <c r="R31" s="5"/>
      <c r="S31" s="5"/>
      <c r="T31" s="5"/>
      <c r="U31" s="5"/>
      <c r="V31" s="5"/>
      <c r="W31" s="4">
        <f si="4" t="shared"/>
        <v>0</v>
      </c>
      <c r="X31" s="10"/>
      <c r="Y31" s="10"/>
      <c r="Z31" s="10"/>
      <c r="AA31" s="10"/>
      <c r="AB31" s="10"/>
      <c r="AC31" s="3">
        <f si="5" t="shared"/>
        <v>0</v>
      </c>
    </row>
    <row r="32" spans="2:29" x14ac:dyDescent="0.2">
      <c r="B32" s="1"/>
      <c r="C32" s="1"/>
      <c r="D32" s="1"/>
      <c r="E32" s="1"/>
      <c r="F32" s="5"/>
      <c r="G32" s="5"/>
      <c r="H32" s="5"/>
      <c r="I32" s="5"/>
      <c r="J32" s="5"/>
      <c r="K32" s="4">
        <f si="2" t="shared"/>
        <v>0</v>
      </c>
      <c r="L32" s="11"/>
      <c r="M32" s="11"/>
      <c r="N32" s="11"/>
      <c r="O32" s="11"/>
      <c r="P32" s="11"/>
      <c r="Q32" s="12">
        <f si="3" t="shared"/>
        <v>0</v>
      </c>
      <c r="R32" s="5"/>
      <c r="S32" s="5"/>
      <c r="T32" s="5"/>
      <c r="U32" s="5"/>
      <c r="V32" s="5"/>
      <c r="W32" s="4">
        <f si="4" t="shared"/>
        <v>0</v>
      </c>
      <c r="X32" s="10"/>
      <c r="Y32" s="10"/>
      <c r="Z32" s="10"/>
      <c r="AA32" s="10"/>
      <c r="AB32" s="10"/>
      <c r="AC32" s="3">
        <f si="5" t="shared"/>
        <v>0</v>
      </c>
    </row>
    <row r="33" spans="2:29" x14ac:dyDescent="0.2">
      <c r="B33" s="1"/>
      <c r="C33" s="1"/>
      <c r="D33" s="1"/>
      <c r="E33" s="1"/>
      <c r="F33" s="5"/>
      <c r="G33" s="5"/>
      <c r="H33" s="5"/>
      <c r="I33" s="5"/>
      <c r="J33" s="5"/>
      <c r="K33" s="4">
        <f si="2" t="shared"/>
        <v>0</v>
      </c>
      <c r="L33" s="11"/>
      <c r="M33" s="11"/>
      <c r="N33" s="11"/>
      <c r="O33" s="11"/>
      <c r="P33" s="11"/>
      <c r="Q33" s="12">
        <f si="3" t="shared"/>
        <v>0</v>
      </c>
      <c r="R33" s="5"/>
      <c r="S33" s="5"/>
      <c r="T33" s="5"/>
      <c r="U33" s="5"/>
      <c r="V33" s="5"/>
      <c r="W33" s="4">
        <f si="4" t="shared"/>
        <v>0</v>
      </c>
      <c r="X33" s="10"/>
      <c r="Y33" s="10"/>
      <c r="Z33" s="10"/>
      <c r="AA33" s="10"/>
      <c r="AB33" s="10"/>
      <c r="AC33" s="3">
        <f si="5" t="shared"/>
        <v>0</v>
      </c>
    </row>
  </sheetData>
  <mergeCells count="6">
    <mergeCell ref="R3:AC3"/>
    <mergeCell ref="R4:V4"/>
    <mergeCell ref="X4:AC4"/>
    <mergeCell ref="F4:J4"/>
    <mergeCell ref="L4:Q4"/>
    <mergeCell ref="F3:Q3"/>
  </mergeCells>
  <pageMargins bottom="0.75" footer="0.3" header="0.3" left="0.7" right="0.7" top="0.75"/>
  <pageSetup orientation="portrait" paperSize="9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BC161"/>
  <sheetViews>
    <sheetView showGridLines="0" tabSelected="1" workbookViewId="0" zoomScale="80" zoomScaleNormal="80">
      <pane activePane="bottomRight" state="frozen" topLeftCell="AI6" xSplit="14" ySplit="5"/>
      <selection activeCell="B1" sqref="B1"/>
      <selection activeCell="O1" pane="topRight" sqref="O1"/>
      <selection activeCell="B6" pane="bottomLeft" sqref="B6"/>
      <selection activeCell="AJ19" pane="bottomRight" sqref="AJ19"/>
    </sheetView>
  </sheetViews>
  <sheetFormatPr baseColWidth="10" defaultColWidth="8.83203125" defaultRowHeight="15" outlineLevelCol="2" x14ac:dyDescent="0.2"/>
  <cols>
    <col customWidth="1" hidden="1" max="1" min="1" outlineLevel="1" width="12.6640625"/>
    <col collapsed="1" customWidth="1" max="2" min="2" width="10.5"/>
    <col customWidth="1" max="3" min="3" width="10.5"/>
    <col customWidth="1" max="4" min="4" width="16.33203125"/>
    <col customWidth="1" hidden="1" max="5" min="5" outlineLevel="1" width="13.5"/>
    <col customWidth="1" hidden="1" max="6" min="6" outlineLevel="2" width="14.1640625"/>
    <col collapsed="1" customWidth="1" max="7" min="7" width="12.5"/>
    <col customWidth="1" max="8" min="8" width="11.83203125"/>
    <col customWidth="1" max="9" min="9" width="12.33203125"/>
    <col customWidth="1" hidden="1" max="10" min="10" outlineLevel="1" width="11.6640625"/>
    <col collapsed="1" customWidth="1" max="11" min="11" width="15"/>
    <col customWidth="1" max="12" min="12" width="18.6640625"/>
    <col customWidth="1" max="13" min="13" width="18.5"/>
    <col customWidth="1" max="14" min="14" width="15.83203125"/>
    <col customWidth="1" max="23" min="15" width="13.33203125"/>
    <col bestFit="1" customWidth="1" max="24" min="24" width="13.5"/>
    <col customWidth="1" max="26" min="25" width="13.33203125"/>
    <col customWidth="1" max="27" min="27" width="14.6640625"/>
    <col bestFit="1" customWidth="1" max="28" min="28" width="13"/>
    <col bestFit="1" customWidth="1" max="29" min="29" width="13.1640625"/>
    <col bestFit="1" customWidth="1" max="30" min="30" width="13.5"/>
    <col bestFit="1" customWidth="1" max="31" min="31" width="12.83203125"/>
    <col bestFit="1" customWidth="1" max="32" min="32" width="13.5"/>
    <col bestFit="1" customWidth="1" max="33" min="33" width="13.6640625"/>
    <col bestFit="1" customWidth="1" max="34" min="34" width="13.5"/>
    <col bestFit="1" customWidth="1" max="35" min="35" width="12.5"/>
    <col bestFit="1" customWidth="1" max="36" min="36" width="12.83203125"/>
    <col bestFit="1" customWidth="1" max="37" min="37" width="12.6640625"/>
    <col bestFit="1" customWidth="1" max="39" min="38" width="13"/>
    <col customWidth="1" max="40" min="40" width="15"/>
    <col customWidth="1" max="41" min="41" width="16.1640625"/>
    <col customWidth="1" max="42" min="42" width="16.33203125"/>
    <col customWidth="1" max="43" min="43" width="11.33203125"/>
    <col customWidth="1" max="46" min="44" width="11.6640625"/>
    <col customWidth="1" max="47" min="47" width="19.6640625"/>
    <col customWidth="1" max="48" min="48" width="54.5"/>
    <col customWidth="1" max="49" min="49" outlineLevel="1" width="30.33203125"/>
    <col bestFit="1" customWidth="1" max="50" min="50" outlineLevel="1" width="12.6640625"/>
    <col customWidth="1" max="52" min="51" outlineLevel="1" width="13.33203125"/>
    <col customWidth="1" max="55" min="53" outlineLevel="1" width="12.6640625"/>
  </cols>
  <sheetData>
    <row ht="21" r="1" spans="1:55" x14ac:dyDescent="0.25">
      <c r="B1" s="15" t="s">
        <v>26</v>
      </c>
      <c r="BA1" s="63"/>
    </row>
    <row customFormat="1" ht="16" r="2" s="38" spans="1:55" x14ac:dyDescent="0.2">
      <c r="B2" s="38" t="s">
        <v>162</v>
      </c>
      <c r="C2" s="38" t="s">
        <v>142</v>
      </c>
      <c r="D2" s="38" t="s">
        <v>162</v>
      </c>
      <c r="E2" s="38" t="s">
        <v>142</v>
      </c>
      <c r="F2" s="38" t="s">
        <v>162</v>
      </c>
      <c r="G2" s="38" t="s">
        <v>162</v>
      </c>
      <c r="H2" s="38" t="s">
        <v>142</v>
      </c>
      <c r="I2" s="38" t="s">
        <v>162</v>
      </c>
      <c r="J2" s="38" t="s">
        <v>142</v>
      </c>
      <c r="K2" s="38" t="s">
        <v>162</v>
      </c>
      <c r="L2" s="38" t="s">
        <v>162</v>
      </c>
      <c r="M2" s="38" t="s">
        <v>162</v>
      </c>
      <c r="N2" s="38" t="s">
        <v>162</v>
      </c>
      <c r="O2" s="38" t="s">
        <v>140</v>
      </c>
      <c r="P2" s="38" t="s">
        <v>140</v>
      </c>
      <c r="Q2" s="38" t="s">
        <v>140</v>
      </c>
      <c r="R2" s="38" t="s">
        <v>140</v>
      </c>
      <c r="S2" s="38" t="s">
        <v>140</v>
      </c>
      <c r="T2" s="38" t="s">
        <v>140</v>
      </c>
      <c r="U2" s="38" t="s">
        <v>140</v>
      </c>
      <c r="V2" s="38" t="s">
        <v>140</v>
      </c>
      <c r="W2" s="38" t="s">
        <v>140</v>
      </c>
      <c r="X2" s="38" t="s">
        <v>24</v>
      </c>
      <c r="Y2" s="38" t="s">
        <v>24</v>
      </c>
      <c r="Z2" s="38" t="s">
        <v>24</v>
      </c>
      <c r="AA2" s="38" t="s">
        <v>22</v>
      </c>
      <c r="AB2" s="38" t="s">
        <v>24</v>
      </c>
      <c r="AC2" s="38" t="s">
        <v>24</v>
      </c>
      <c r="AD2" s="38" t="s">
        <v>24</v>
      </c>
      <c r="AE2" s="38" t="s">
        <v>24</v>
      </c>
      <c r="AF2" s="38" t="s">
        <v>24</v>
      </c>
      <c r="AG2" s="38" t="s">
        <v>24</v>
      </c>
      <c r="AH2" s="38" t="s">
        <v>24</v>
      </c>
      <c r="AI2" s="38" t="s">
        <v>24</v>
      </c>
      <c r="AJ2" s="38" t="s">
        <v>24</v>
      </c>
      <c r="AK2" s="38" t="s">
        <v>24</v>
      </c>
      <c r="AL2" s="38" t="s">
        <v>24</v>
      </c>
      <c r="AM2" s="38" t="s">
        <v>24</v>
      </c>
      <c r="AN2" s="38" t="s">
        <v>22</v>
      </c>
      <c r="AO2" s="38" t="s">
        <v>24</v>
      </c>
      <c r="AP2" s="38" t="s">
        <v>24</v>
      </c>
      <c r="AQ2" s="38" t="s">
        <v>24</v>
      </c>
      <c r="AR2" s="38" t="s">
        <v>24</v>
      </c>
      <c r="AS2" s="38" t="s">
        <v>24</v>
      </c>
      <c r="AT2" s="38" t="s">
        <v>24</v>
      </c>
      <c r="AU2" s="38" t="s">
        <v>24</v>
      </c>
      <c r="AV2" s="38" t="s">
        <v>24</v>
      </c>
      <c r="AX2" s="70" t="s">
        <v>275</v>
      </c>
    </row>
    <row customFormat="1" r="3" s="16" spans="1:55" x14ac:dyDescent="0.2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6" t="s">
        <v>161</v>
      </c>
      <c r="O3" s="37">
        <f ref="O3:AP3" si="0" t="shared">SUBTOTAL(9,O6:O161)</f>
        <v>3599284604.5500016</v>
      </c>
      <c r="P3" s="37">
        <f si="0" t="shared"/>
        <v>4936191218.2300005</v>
      </c>
      <c r="Q3" s="37">
        <f si="0" t="shared"/>
        <v>7471087501.6300011</v>
      </c>
      <c r="R3" s="37">
        <f si="0" t="shared"/>
        <v>2538269504.8500004</v>
      </c>
      <c r="S3" s="37">
        <f si="0" t="shared"/>
        <v>3046040631.1399994</v>
      </c>
      <c r="T3" s="37">
        <f si="0" t="shared"/>
        <v>3103458446.9799995</v>
      </c>
      <c r="U3" s="37">
        <f si="0" t="shared"/>
        <v>3419161698.6999993</v>
      </c>
      <c r="V3" s="37">
        <f si="0" t="shared"/>
        <v>1591835378.2300005</v>
      </c>
      <c r="W3" s="37">
        <f si="0" t="shared"/>
        <v>1738798868.8200002</v>
      </c>
      <c r="X3" s="37">
        <f si="0" t="shared"/>
        <v>3034430019.7092209</v>
      </c>
      <c r="Y3" s="37">
        <f si="0" t="shared"/>
        <v>2631802656.3664069</v>
      </c>
      <c r="Z3" s="37">
        <f si="0" t="shared"/>
        <v>3007463805.3610578</v>
      </c>
      <c r="AA3" s="37">
        <f si="0" t="shared"/>
        <v>40117824334.566689</v>
      </c>
      <c r="AB3" s="37">
        <f si="0" t="shared"/>
        <v>744530792.05199993</v>
      </c>
      <c r="AC3" s="37">
        <f si="0" t="shared"/>
        <v>994984310.8720001</v>
      </c>
      <c r="AD3" s="37">
        <f si="0" t="shared"/>
        <v>1216910196.0719998</v>
      </c>
      <c r="AE3" s="37">
        <f si="0" t="shared"/>
        <v>1286863403.3710003</v>
      </c>
      <c r="AF3" s="37">
        <f si="0" t="shared"/>
        <v>949473248.80300009</v>
      </c>
      <c r="AG3" s="37">
        <f si="0" t="shared"/>
        <v>1347177992.4010003</v>
      </c>
      <c r="AH3" s="37">
        <f si="0" t="shared"/>
        <v>1479980316.6729999</v>
      </c>
      <c r="AI3" s="37">
        <f si="0" t="shared"/>
        <v>1581004004.1499996</v>
      </c>
      <c r="AJ3" s="37">
        <f si="0" t="shared"/>
        <v>1708753607.175</v>
      </c>
      <c r="AK3" s="37">
        <f si="0" t="shared"/>
        <v>2057230562.0759671</v>
      </c>
      <c r="AL3" s="37">
        <f si="0" t="shared"/>
        <v>2046648639.026937</v>
      </c>
      <c r="AM3" s="37">
        <f si="0" t="shared"/>
        <v>2093026935.9910042</v>
      </c>
      <c r="AN3" s="37">
        <f si="0" t="shared"/>
        <v>17506584008.662907</v>
      </c>
      <c r="AO3" s="37">
        <f si="0" t="shared"/>
        <v>0</v>
      </c>
      <c r="AP3" s="37">
        <f si="0" t="shared"/>
        <v>0</v>
      </c>
      <c r="AQ3" s="33"/>
      <c r="AR3" s="34"/>
      <c r="AS3" s="34"/>
      <c r="AT3" s="35"/>
      <c r="AU3" s="33"/>
      <c r="AV3" s="35"/>
      <c r="AX3" s="37">
        <f ref="AX3:BC3" si="1" t="shared">SUBTOTAL(9,AX6:AX161)</f>
        <v>1748822307.436543</v>
      </c>
      <c r="AY3" s="37">
        <f si="1" t="shared"/>
        <v>1378230539.9629695</v>
      </c>
      <c r="AZ3" s="37">
        <f si="1" t="shared"/>
        <v>1451523187.356461</v>
      </c>
      <c r="BA3" s="37">
        <f si="1" t="shared"/>
        <v>1285607712.2726779</v>
      </c>
      <c r="BB3" s="37">
        <f si="1" t="shared"/>
        <v>1253572116.4034369</v>
      </c>
      <c r="BC3" s="37">
        <f si="1" t="shared"/>
        <v>1555940618.0045972</v>
      </c>
    </row>
    <row customFormat="1" customHeight="1" ht="14.25" r="4" s="43" spans="1:55" x14ac:dyDescent="0.2">
      <c r="B4" s="44">
        <v>1</v>
      </c>
      <c r="C4" s="44">
        <v>2</v>
      </c>
      <c r="D4" s="44">
        <v>3</v>
      </c>
      <c r="E4" s="44">
        <v>4</v>
      </c>
      <c r="F4" s="44">
        <v>5</v>
      </c>
      <c r="G4" s="44">
        <v>6</v>
      </c>
      <c r="H4" s="44">
        <v>7</v>
      </c>
      <c r="I4" s="44">
        <v>8</v>
      </c>
      <c r="J4" s="44">
        <v>9</v>
      </c>
      <c r="K4" s="44">
        <v>10</v>
      </c>
      <c r="L4" s="44">
        <v>11</v>
      </c>
      <c r="M4" s="44">
        <v>12</v>
      </c>
      <c r="N4" s="44">
        <v>13</v>
      </c>
      <c r="O4" s="75" t="s">
        <v>36</v>
      </c>
      <c r="P4" s="75"/>
      <c r="Q4" s="75"/>
      <c r="R4" s="75"/>
      <c r="S4" s="75"/>
      <c r="T4" s="75"/>
      <c r="U4" s="75"/>
      <c r="V4" s="75"/>
      <c r="W4" s="75"/>
      <c r="X4" s="72" t="s">
        <v>37</v>
      </c>
      <c r="Y4" s="73"/>
      <c r="Z4" s="73"/>
      <c r="AA4" s="45" t="s">
        <v>158</v>
      </c>
      <c r="AB4" s="76" t="s">
        <v>38</v>
      </c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8"/>
      <c r="AO4" s="76" t="s">
        <v>159</v>
      </c>
      <c r="AP4" s="78"/>
      <c r="AQ4" s="76" t="s">
        <v>264</v>
      </c>
      <c r="AR4" s="77"/>
      <c r="AS4" s="77"/>
      <c r="AT4" s="78"/>
      <c r="AU4" s="76" t="s">
        <v>157</v>
      </c>
      <c r="AV4" s="78"/>
      <c r="AX4" s="72" t="s">
        <v>265</v>
      </c>
      <c r="AY4" s="73"/>
      <c r="AZ4" s="73"/>
      <c r="BA4" s="74" t="s">
        <v>274</v>
      </c>
      <c r="BB4" s="74"/>
      <c r="BC4" s="74"/>
    </row>
    <row customFormat="1" customHeight="1" ht="31.5" r="5" s="21" spans="1:55" x14ac:dyDescent="0.2">
      <c r="A5" s="21" t="s">
        <v>39</v>
      </c>
      <c r="B5" s="46" t="s">
        <v>7</v>
      </c>
      <c r="C5" s="47" t="s">
        <v>8</v>
      </c>
      <c r="D5" s="46" t="s">
        <v>9</v>
      </c>
      <c r="E5" s="47" t="s">
        <v>43</v>
      </c>
      <c r="F5" s="46" t="s">
        <v>45</v>
      </c>
      <c r="G5" s="46" t="s">
        <v>131</v>
      </c>
      <c r="H5" s="47" t="s">
        <v>41</v>
      </c>
      <c r="I5" s="46" t="s">
        <v>163</v>
      </c>
      <c r="J5" s="46" t="s">
        <v>42</v>
      </c>
      <c r="K5" s="46" t="s">
        <v>44</v>
      </c>
      <c r="L5" s="46" t="s">
        <v>10</v>
      </c>
      <c r="M5" s="46" t="s">
        <v>11</v>
      </c>
      <c r="N5" s="46" t="s">
        <v>160</v>
      </c>
      <c r="O5" s="48">
        <v>45658</v>
      </c>
      <c r="P5" s="48">
        <v>45689</v>
      </c>
      <c r="Q5" s="48">
        <v>45717</v>
      </c>
      <c r="R5" s="48">
        <v>45748</v>
      </c>
      <c r="S5" s="48">
        <v>45778</v>
      </c>
      <c r="T5" s="48">
        <v>45809</v>
      </c>
      <c r="U5" s="48">
        <v>45839</v>
      </c>
      <c r="V5" s="48">
        <v>45870</v>
      </c>
      <c r="W5" s="48">
        <v>45901</v>
      </c>
      <c r="X5" s="48">
        <v>45931</v>
      </c>
      <c r="Y5" s="48">
        <v>45962</v>
      </c>
      <c r="Z5" s="48">
        <v>45992</v>
      </c>
      <c r="AA5" s="49">
        <v>2025</v>
      </c>
      <c r="AB5" s="48">
        <v>46023</v>
      </c>
      <c r="AC5" s="48">
        <v>46054</v>
      </c>
      <c r="AD5" s="48">
        <v>46082</v>
      </c>
      <c r="AE5" s="48">
        <v>46113</v>
      </c>
      <c r="AF5" s="48">
        <v>46143</v>
      </c>
      <c r="AG5" s="48">
        <v>46174</v>
      </c>
      <c r="AH5" s="48">
        <v>46204</v>
      </c>
      <c r="AI5" s="48">
        <v>46235</v>
      </c>
      <c r="AJ5" s="48">
        <v>46266</v>
      </c>
      <c r="AK5" s="48">
        <v>46296</v>
      </c>
      <c r="AL5" s="48">
        <v>46327</v>
      </c>
      <c r="AM5" s="48">
        <v>46357</v>
      </c>
      <c r="AN5" s="49">
        <v>2026</v>
      </c>
      <c r="AO5" s="49">
        <v>2027</v>
      </c>
      <c r="AP5" s="49">
        <v>2028</v>
      </c>
      <c r="AQ5" s="49" t="s">
        <v>153</v>
      </c>
      <c r="AR5" s="49" t="s">
        <v>154</v>
      </c>
      <c r="AS5" s="49" t="s">
        <v>155</v>
      </c>
      <c r="AT5" s="49" t="s">
        <v>156</v>
      </c>
      <c r="AU5" s="50" t="s">
        <v>151</v>
      </c>
      <c r="AV5" s="51" t="s">
        <v>152</v>
      </c>
      <c r="AW5" s="68" t="s">
        <v>276</v>
      </c>
      <c r="AX5" s="48">
        <v>45931</v>
      </c>
      <c r="AY5" s="48">
        <v>45962</v>
      </c>
      <c r="AZ5" s="48">
        <v>45992</v>
      </c>
      <c r="BA5" s="66">
        <v>45931</v>
      </c>
      <c r="BB5" s="66">
        <v>45962</v>
      </c>
      <c r="BC5" s="66">
        <v>45992</v>
      </c>
    </row>
    <row r="6" spans="1:55" x14ac:dyDescent="0.2">
      <c r="A6" s="63" t="str">
        <f>CONCATENATE(B6,C6,D6,E6,F6,G6,H6,I6,J6,K6,L6,M6,N6)</f>
        <v>СКБСЖРозницаWMЛайфНовыйГКГибкий курсЕдиновременнаяНовый</v>
      </c>
      <c r="B6" s="27" t="s">
        <v>4</v>
      </c>
      <c r="C6" s="1" t="str">
        <f>IFERROR(VLOOKUP(D6,Каналы!$B:$C,2,0),"")</f>
        <v>Розница</v>
      </c>
      <c r="D6" s="27" t="s">
        <v>6</v>
      </c>
      <c r="E6" s="1"/>
      <c r="F6" s="27"/>
      <c r="G6" s="27"/>
      <c r="H6" s="1" t="s">
        <v>1</v>
      </c>
      <c r="I6" s="27" t="s">
        <v>29</v>
      </c>
      <c r="J6" s="53"/>
      <c r="K6" s="27" t="s">
        <v>241</v>
      </c>
      <c r="L6" s="27" t="s">
        <v>202</v>
      </c>
      <c r="M6" s="27" t="s">
        <v>194</v>
      </c>
      <c r="N6" s="27" t="s">
        <v>29</v>
      </c>
      <c r="O6" s="5">
        <v>265735143.53</v>
      </c>
      <c r="P6" s="5">
        <v>208306422</v>
      </c>
      <c r="Q6" s="5">
        <v>215871868.44999999</v>
      </c>
      <c r="R6" s="5">
        <v>408691916</v>
      </c>
      <c r="S6" s="5">
        <v>183113109</v>
      </c>
      <c r="T6" s="5">
        <v>271097127.63999999</v>
      </c>
      <c r="U6" s="5">
        <v>272935614</v>
      </c>
      <c r="V6" s="5">
        <v>185626860</v>
      </c>
      <c r="W6" s="5">
        <v>262351463.09999999</v>
      </c>
      <c r="X6" s="69">
        <v>270000000</v>
      </c>
      <c r="Y6" s="69">
        <v>220000000</v>
      </c>
      <c r="Z6" s="69">
        <v>220000000</v>
      </c>
      <c r="AA6" s="4">
        <f ref="AA6:AA14" si="2" t="shared">SUM(O6:Z6)</f>
        <v>2983729523.7199998</v>
      </c>
      <c r="AB6" s="41">
        <v>150000000</v>
      </c>
      <c r="AC6" s="41">
        <v>150000000</v>
      </c>
      <c r="AD6" s="41">
        <v>200000000</v>
      </c>
      <c r="AE6" s="41">
        <v>200000000</v>
      </c>
      <c r="AF6" s="41">
        <v>150000000</v>
      </c>
      <c r="AG6" s="41">
        <v>200000000</v>
      </c>
      <c r="AH6" s="41">
        <v>200000000</v>
      </c>
      <c r="AI6" s="41">
        <v>200000000</v>
      </c>
      <c r="AJ6" s="41">
        <v>300000000</v>
      </c>
      <c r="AK6" s="41">
        <v>350000000</v>
      </c>
      <c r="AL6" s="41">
        <v>350000000</v>
      </c>
      <c r="AM6" s="41">
        <v>350000000</v>
      </c>
      <c r="AN6" s="4">
        <f ref="AN6:AN14" si="3" t="shared">SUM(AB6:AM6)</f>
        <v>2800000000</v>
      </c>
      <c r="AO6" s="27"/>
      <c r="AP6" s="27"/>
      <c r="AQ6" s="42"/>
      <c r="AR6" s="42"/>
      <c r="AS6" s="42"/>
      <c r="AT6" s="42"/>
      <c r="AU6" s="27"/>
      <c r="AV6" s="27"/>
      <c r="AW6" s="13" t="s">
        <v>266</v>
      </c>
      <c r="AX6" s="41">
        <v>270000000</v>
      </c>
      <c r="AY6" s="41">
        <v>220000000</v>
      </c>
      <c r="AZ6" s="41">
        <v>220000000</v>
      </c>
      <c r="BA6" s="63">
        <f>X6-AX6</f>
        <v>0</v>
      </c>
      <c r="BB6" s="63">
        <f ref="BB6:BC6" si="4" t="shared">Y6-AY6</f>
        <v>0</v>
      </c>
      <c r="BC6" s="63">
        <f si="4" t="shared"/>
        <v>0</v>
      </c>
    </row>
    <row customHeight="1" ht="14.25" r="7" spans="1:55" x14ac:dyDescent="0.2">
      <c r="A7" s="63" t="str">
        <f ref="A7:A70" si="5" t="shared">CONCATENATE(B7,C7,D7,E7,F7,G7,H7,I7,J7,K7,L7,M7,N7)</f>
        <v>СКБСЖРозницаWMЛайфНовыйНПНПЕдиновременнаяНовый</v>
      </c>
      <c r="B7" s="27" t="s">
        <v>4</v>
      </c>
      <c r="C7" s="1" t="str">
        <f>IFERROR(VLOOKUP(D7,Каналы!$B:$C,2,0),"")</f>
        <v>Розница</v>
      </c>
      <c r="D7" s="27" t="s">
        <v>6</v>
      </c>
      <c r="E7" s="1"/>
      <c r="F7" s="27"/>
      <c r="G7" s="27"/>
      <c r="H7" s="1" t="s">
        <v>1</v>
      </c>
      <c r="I7" s="27" t="s">
        <v>29</v>
      </c>
      <c r="J7" s="53"/>
      <c r="K7" s="27" t="s">
        <v>3</v>
      </c>
      <c r="L7" s="27" t="s">
        <v>3</v>
      </c>
      <c r="M7" s="27" t="s">
        <v>194</v>
      </c>
      <c r="N7" s="27" t="s">
        <v>29</v>
      </c>
      <c r="O7" s="5">
        <v>2629748873.1600003</v>
      </c>
      <c r="P7" s="5">
        <v>3941211255</v>
      </c>
      <c r="Q7" s="5">
        <v>6370064661.6000004</v>
      </c>
      <c r="R7" s="5">
        <v>1026106486.3</v>
      </c>
      <c r="S7" s="5">
        <v>1961179305.4000001</v>
      </c>
      <c r="T7" s="5">
        <v>1954316259</v>
      </c>
      <c r="U7" s="5">
        <v>2190823168</v>
      </c>
      <c r="V7" s="5">
        <v>328435677</v>
      </c>
      <c r="W7" s="5">
        <v>583395118</v>
      </c>
      <c r="X7" s="69">
        <v>1200000000</v>
      </c>
      <c r="Y7" s="69">
        <v>1200000000</v>
      </c>
      <c r="Z7" s="69">
        <v>1500000000</v>
      </c>
      <c r="AA7" s="4">
        <f si="2" t="shared"/>
        <v>24885280803.459999</v>
      </c>
      <c r="AB7" s="41">
        <v>200000000</v>
      </c>
      <c r="AC7" s="41">
        <v>350000000</v>
      </c>
      <c r="AD7" s="41">
        <v>350000000</v>
      </c>
      <c r="AE7" s="41">
        <v>350000000</v>
      </c>
      <c r="AF7" s="41">
        <v>300000000</v>
      </c>
      <c r="AG7" s="41">
        <v>350000000</v>
      </c>
      <c r="AH7" s="41">
        <v>500000000</v>
      </c>
      <c r="AI7" s="41">
        <v>600000000</v>
      </c>
      <c r="AJ7" s="41">
        <v>600000000</v>
      </c>
      <c r="AK7" s="41">
        <v>700000000</v>
      </c>
      <c r="AL7" s="41">
        <v>700000000</v>
      </c>
      <c r="AM7" s="41">
        <v>700000000</v>
      </c>
      <c r="AN7" s="4">
        <f si="3" t="shared"/>
        <v>5700000000</v>
      </c>
      <c r="AO7" s="27"/>
      <c r="AP7" s="27"/>
      <c r="AQ7" s="42"/>
      <c r="AR7" s="42"/>
      <c r="AS7" s="42"/>
      <c r="AT7" s="42"/>
      <c r="AU7" s="27"/>
      <c r="AV7" s="27"/>
      <c r="AW7" s="13" t="s">
        <v>277</v>
      </c>
      <c r="AX7" s="41">
        <v>393000000</v>
      </c>
      <c r="AY7" s="41">
        <v>350000000</v>
      </c>
      <c r="AZ7" s="41">
        <v>350000000</v>
      </c>
      <c r="BA7" s="63">
        <f ref="BA7:BA70" si="6" t="shared">X7-AX7</f>
        <v>807000000</v>
      </c>
      <c r="BB7" s="63">
        <f ref="BB7:BB70" si="7" t="shared">Y7-AY7</f>
        <v>850000000</v>
      </c>
      <c r="BC7" s="63">
        <f ref="BC7:BC70" si="8" t="shared">Z7-AZ7</f>
        <v>1150000000</v>
      </c>
    </row>
    <row r="8" spans="1:55" x14ac:dyDescent="0.2">
      <c r="A8" s="63" t="str">
        <f si="5" t="shared"/>
        <v>СКБСЖРозницаWMЛайфНовыйНСЖ_КБНСЖ с КэшбекомРегулярнаяНовый</v>
      </c>
      <c r="B8" s="27" t="s">
        <v>4</v>
      </c>
      <c r="C8" s="1" t="str">
        <f>IFERROR(VLOOKUP(D8,Каналы!$B:$C,2,0),"")</f>
        <v>Розница</v>
      </c>
      <c r="D8" s="27" t="s">
        <v>6</v>
      </c>
      <c r="E8" s="1"/>
      <c r="F8" s="27"/>
      <c r="G8" s="27"/>
      <c r="H8" s="1" t="s">
        <v>1</v>
      </c>
      <c r="I8" s="27" t="s">
        <v>29</v>
      </c>
      <c r="J8" s="53"/>
      <c r="K8" s="27" t="s">
        <v>242</v>
      </c>
      <c r="L8" s="27" t="s">
        <v>208</v>
      </c>
      <c r="M8" s="27" t="s">
        <v>193</v>
      </c>
      <c r="N8" s="27" t="s">
        <v>29</v>
      </c>
      <c r="O8" s="5">
        <v>-14180000</v>
      </c>
      <c r="P8" s="5">
        <v>5800000</v>
      </c>
      <c r="Q8" s="5">
        <v>8900000</v>
      </c>
      <c r="R8" s="5">
        <v>-2130000</v>
      </c>
      <c r="S8" s="5">
        <v>3880000</v>
      </c>
      <c r="T8" s="5">
        <v>9560000</v>
      </c>
      <c r="U8" s="5">
        <v>12680000</v>
      </c>
      <c r="V8" s="5">
        <v>-3880000</v>
      </c>
      <c r="W8" s="5">
        <v>-2150000</v>
      </c>
      <c r="X8" s="69">
        <v>5500000</v>
      </c>
      <c r="Y8" s="69">
        <v>5500000</v>
      </c>
      <c r="Z8" s="69">
        <v>5500000</v>
      </c>
      <c r="AA8" s="4">
        <f si="2" t="shared"/>
        <v>34980000</v>
      </c>
      <c r="AB8" s="41">
        <v>2000000</v>
      </c>
      <c r="AC8" s="41">
        <v>2500000</v>
      </c>
      <c r="AD8" s="41">
        <v>2500000</v>
      </c>
      <c r="AE8" s="41">
        <v>2500000</v>
      </c>
      <c r="AF8" s="41">
        <v>2500000</v>
      </c>
      <c r="AG8" s="41">
        <v>4000000</v>
      </c>
      <c r="AH8" s="41">
        <v>4000000</v>
      </c>
      <c r="AI8" s="41">
        <v>4000000</v>
      </c>
      <c r="AJ8" s="41">
        <v>5000000</v>
      </c>
      <c r="AK8" s="41">
        <v>5000000</v>
      </c>
      <c r="AL8" s="41">
        <v>5000000</v>
      </c>
      <c r="AM8" s="41">
        <v>5000000</v>
      </c>
      <c r="AN8" s="4">
        <f si="3" t="shared"/>
        <v>44000000</v>
      </c>
      <c r="AO8" s="27"/>
      <c r="AP8" s="27"/>
      <c r="AQ8" s="42"/>
      <c r="AR8" s="42"/>
      <c r="AS8" s="42"/>
      <c r="AT8" s="42"/>
      <c r="AU8" s="27"/>
      <c r="AV8" s="27"/>
      <c r="AW8" s="13" t="s">
        <v>266</v>
      </c>
      <c r="AX8" s="41">
        <v>5500000</v>
      </c>
      <c r="AY8" s="41">
        <v>5500000</v>
      </c>
      <c r="AZ8" s="41">
        <v>5500000</v>
      </c>
      <c r="BA8" s="63">
        <f si="6" t="shared"/>
        <v>0</v>
      </c>
      <c r="BB8" s="63">
        <f si="7" t="shared"/>
        <v>0</v>
      </c>
      <c r="BC8" s="63">
        <f si="8" t="shared"/>
        <v>0</v>
      </c>
    </row>
    <row r="9" spans="1:55" x14ac:dyDescent="0.2">
      <c r="A9" s="63" t="str">
        <f si="5" t="shared"/>
        <v>СКБСЖРозницаБанкострахованиеЛайфСКБЖИндив.пенсияИндив ПенсияРегулярнаяНовый</v>
      </c>
      <c r="B9" s="27" t="s">
        <v>4</v>
      </c>
      <c r="C9" s="1" t="str">
        <f>IFERROR(VLOOKUP(D9,Каналы!$B:$C,2,0),"")</f>
        <v>Розница</v>
      </c>
      <c r="D9" s="27" t="s">
        <v>204</v>
      </c>
      <c r="E9" s="1"/>
      <c r="F9" s="27"/>
      <c r="G9" s="27"/>
      <c r="H9" s="1" t="s">
        <v>1</v>
      </c>
      <c r="I9" s="27" t="s">
        <v>209</v>
      </c>
      <c r="J9" s="53"/>
      <c r="K9" s="27" t="s">
        <v>244</v>
      </c>
      <c r="L9" s="27" t="s">
        <v>203</v>
      </c>
      <c r="M9" s="27" t="s">
        <v>193</v>
      </c>
      <c r="N9" s="27" t="s">
        <v>29</v>
      </c>
      <c r="O9" s="5"/>
      <c r="P9" s="5"/>
      <c r="Q9" s="5"/>
      <c r="R9" s="5"/>
      <c r="S9" s="5"/>
      <c r="T9" s="5"/>
      <c r="U9" s="5"/>
      <c r="V9" s="5">
        <v>-0.01</v>
      </c>
      <c r="W9" s="5"/>
      <c r="X9" s="69"/>
      <c r="Y9" s="69"/>
      <c r="Z9" s="69"/>
      <c r="AA9" s="4">
        <f si="2" t="shared"/>
        <v>-0.01</v>
      </c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">
        <f si="3" t="shared"/>
        <v>0</v>
      </c>
      <c r="AO9" s="27"/>
      <c r="AP9" s="27"/>
      <c r="AQ9" s="42"/>
      <c r="AR9" s="42"/>
      <c r="AS9" s="42"/>
      <c r="AT9" s="42"/>
      <c r="AU9" s="27"/>
      <c r="AV9" s="27"/>
      <c r="AW9" s="13">
        <v>0</v>
      </c>
      <c r="AX9" s="41"/>
      <c r="AY9" s="41"/>
      <c r="AZ9" s="41"/>
      <c r="BA9" s="63">
        <f si="6" t="shared"/>
        <v>0</v>
      </c>
      <c r="BB9" s="63">
        <f si="7" t="shared"/>
        <v>0</v>
      </c>
      <c r="BC9" s="63">
        <f si="8" t="shared"/>
        <v>0</v>
      </c>
    </row>
    <row r="10" spans="1:55" x14ac:dyDescent="0.2">
      <c r="A10" s="63" t="str">
        <f si="5" t="shared"/>
        <v>СКБСЖРозницаБанкострахованиеЛайфСКБЖИндив.пенсияИндив ПенсияРегулярнаяПролонгация</v>
      </c>
      <c r="B10" s="27" t="s">
        <v>4</v>
      </c>
      <c r="C10" s="1" t="str">
        <f>IFERROR(VLOOKUP(D10,Каналы!$B:$C,2,0),"")</f>
        <v>Розница</v>
      </c>
      <c r="D10" s="27" t="s">
        <v>204</v>
      </c>
      <c r="E10" s="1"/>
      <c r="F10" s="27"/>
      <c r="G10" s="27"/>
      <c r="H10" s="1" t="s">
        <v>1</v>
      </c>
      <c r="I10" s="27" t="s">
        <v>209</v>
      </c>
      <c r="J10" s="53"/>
      <c r="K10" s="27" t="s">
        <v>244</v>
      </c>
      <c r="L10" s="27" t="s">
        <v>203</v>
      </c>
      <c r="M10" s="27" t="s">
        <v>193</v>
      </c>
      <c r="N10" s="27" t="s">
        <v>48</v>
      </c>
      <c r="O10" s="5"/>
      <c r="P10" s="5"/>
      <c r="Q10" s="5"/>
      <c r="R10" s="5"/>
      <c r="S10" s="5"/>
      <c r="T10" s="5"/>
      <c r="U10" s="5">
        <v>373954.08000000007</v>
      </c>
      <c r="V10" s="5"/>
      <c r="W10" s="5"/>
      <c r="X10" s="69"/>
      <c r="Y10" s="69"/>
      <c r="Z10" s="69"/>
      <c r="AA10" s="4">
        <f si="2" t="shared"/>
        <v>373954.08000000007</v>
      </c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">
        <f si="3" t="shared"/>
        <v>0</v>
      </c>
      <c r="AO10" s="27"/>
      <c r="AP10" s="27"/>
      <c r="AQ10" s="42"/>
      <c r="AR10" s="42"/>
      <c r="AS10" s="42"/>
      <c r="AT10" s="42"/>
      <c r="AU10" s="27"/>
      <c r="AV10" s="27"/>
      <c r="AW10" s="13">
        <v>0</v>
      </c>
      <c r="AX10" s="41"/>
      <c r="AY10" s="41"/>
      <c r="AZ10" s="41"/>
      <c r="BA10" s="63">
        <f si="6" t="shared"/>
        <v>0</v>
      </c>
      <c r="BB10" s="63">
        <f si="7" t="shared"/>
        <v>0</v>
      </c>
      <c r="BC10" s="63">
        <f si="8" t="shared"/>
        <v>0</v>
      </c>
    </row>
    <row r="11" spans="1:55" x14ac:dyDescent="0.2">
      <c r="A11" s="63" t="str">
        <f si="5" t="shared"/>
        <v>СКБСЖРозницаБанкострахованиеЛайфСКБЖНСЖДело жизниЕдиновременнаяНовый</v>
      </c>
      <c r="B11" s="27" t="s">
        <v>4</v>
      </c>
      <c r="C11" s="1" t="str">
        <f>IFERROR(VLOOKUP(D11,Каналы!$B:$C,2,0),"")</f>
        <v>Розница</v>
      </c>
      <c r="D11" s="27" t="s">
        <v>204</v>
      </c>
      <c r="E11" s="1"/>
      <c r="F11" s="27"/>
      <c r="G11" s="27"/>
      <c r="H11" s="1" t="s">
        <v>1</v>
      </c>
      <c r="I11" s="27" t="s">
        <v>209</v>
      </c>
      <c r="J11" s="53"/>
      <c r="K11" s="27" t="s">
        <v>2</v>
      </c>
      <c r="L11" s="27" t="s">
        <v>196</v>
      </c>
      <c r="M11" s="27" t="s">
        <v>194</v>
      </c>
      <c r="N11" s="27" t="s">
        <v>29</v>
      </c>
      <c r="O11" s="5">
        <v>298190000</v>
      </c>
      <c r="P11" s="5">
        <v>304060000</v>
      </c>
      <c r="Q11" s="5">
        <v>400000000</v>
      </c>
      <c r="R11" s="5">
        <v>442256762</v>
      </c>
      <c r="S11" s="5">
        <v>344820997</v>
      </c>
      <c r="T11" s="5">
        <v>226560433</v>
      </c>
      <c r="U11" s="5">
        <v>205585836</v>
      </c>
      <c r="V11" s="5">
        <v>345433682</v>
      </c>
      <c r="W11" s="5">
        <v>322057921</v>
      </c>
      <c r="X11" s="69">
        <v>320000000</v>
      </c>
      <c r="Y11" s="69">
        <v>320000000</v>
      </c>
      <c r="Z11" s="69">
        <v>320000000</v>
      </c>
      <c r="AA11" s="4">
        <f si="2" t="shared"/>
        <v>3848965631</v>
      </c>
      <c r="AB11" s="41">
        <v>200000000</v>
      </c>
      <c r="AC11" s="41">
        <v>250000000</v>
      </c>
      <c r="AD11" s="41">
        <v>250000000</v>
      </c>
      <c r="AE11" s="41">
        <v>300000000</v>
      </c>
      <c r="AF11" s="41">
        <v>200000000</v>
      </c>
      <c r="AG11" s="41">
        <v>300000000</v>
      </c>
      <c r="AH11" s="41">
        <v>300000000</v>
      </c>
      <c r="AI11" s="41">
        <v>300000000</v>
      </c>
      <c r="AJ11" s="41">
        <v>350000000</v>
      </c>
      <c r="AK11" s="41">
        <v>350000000</v>
      </c>
      <c r="AL11" s="41">
        <v>350000000</v>
      </c>
      <c r="AM11" s="41">
        <v>350000000</v>
      </c>
      <c r="AN11" s="4">
        <f si="3" t="shared"/>
        <v>3500000000</v>
      </c>
      <c r="AO11" s="27"/>
      <c r="AP11" s="27"/>
      <c r="AQ11" s="42"/>
      <c r="AR11" s="42"/>
      <c r="AS11" s="42"/>
      <c r="AT11" s="42"/>
      <c r="AU11" s="27"/>
      <c r="AV11" s="27"/>
      <c r="AW11" s="13" t="s">
        <v>267</v>
      </c>
      <c r="AX11" s="41">
        <v>167000000</v>
      </c>
      <c r="AY11" s="41">
        <v>167000000</v>
      </c>
      <c r="AZ11" s="41">
        <v>167000000</v>
      </c>
      <c r="BA11" s="63">
        <f si="6" t="shared"/>
        <v>153000000</v>
      </c>
      <c r="BB11" s="63">
        <f si="7" t="shared"/>
        <v>153000000</v>
      </c>
      <c r="BC11" s="63">
        <f si="8" t="shared"/>
        <v>153000000</v>
      </c>
    </row>
    <row r="12" spans="1:55" x14ac:dyDescent="0.2">
      <c r="A12" s="63" t="str">
        <f si="5" t="shared"/>
        <v>СКБСЖРозницаБанкострахованиеЛайфСКБЖНСЖДело жизниРегулярнаяПролонгация</v>
      </c>
      <c r="B12" s="27" t="s">
        <v>4</v>
      </c>
      <c r="C12" s="1" t="str">
        <f>IFERROR(VLOOKUP(D12,Каналы!$B:$C,2,0),"")</f>
        <v>Розница</v>
      </c>
      <c r="D12" s="27" t="s">
        <v>204</v>
      </c>
      <c r="E12" s="1"/>
      <c r="F12" s="27"/>
      <c r="G12" s="27"/>
      <c r="H12" s="1" t="s">
        <v>1</v>
      </c>
      <c r="I12" s="27" t="s">
        <v>209</v>
      </c>
      <c r="J12" s="53"/>
      <c r="K12" s="27" t="s">
        <v>2</v>
      </c>
      <c r="L12" s="27" t="s">
        <v>196</v>
      </c>
      <c r="M12" s="27" t="s">
        <v>193</v>
      </c>
      <c r="N12" s="27" t="s">
        <v>48</v>
      </c>
      <c r="O12" s="5"/>
      <c r="P12" s="5">
        <v>30000</v>
      </c>
      <c r="Q12" s="5"/>
      <c r="R12" s="5"/>
      <c r="S12" s="5"/>
      <c r="T12" s="5">
        <v>50000</v>
      </c>
      <c r="U12" s="5"/>
      <c r="V12" s="5"/>
      <c r="W12" s="5"/>
      <c r="X12" s="69"/>
      <c r="Y12" s="69"/>
      <c r="Z12" s="69"/>
      <c r="AA12" s="4">
        <f si="2" t="shared"/>
        <v>80000</v>
      </c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">
        <f si="3" t="shared"/>
        <v>0</v>
      </c>
      <c r="AO12" s="27"/>
      <c r="AP12" s="27"/>
      <c r="AQ12" s="42"/>
      <c r="AR12" s="42"/>
      <c r="AS12" s="42"/>
      <c r="AT12" s="42"/>
      <c r="AU12" s="27"/>
      <c r="AV12" s="27"/>
      <c r="AW12" s="13">
        <v>0</v>
      </c>
      <c r="AX12" s="41"/>
      <c r="AY12" s="41"/>
      <c r="AZ12" s="41"/>
      <c r="BA12" s="63">
        <f si="6" t="shared"/>
        <v>0</v>
      </c>
      <c r="BB12" s="63">
        <f si="7" t="shared"/>
        <v>0</v>
      </c>
      <c r="BC12" s="63">
        <f si="8" t="shared"/>
        <v>0</v>
      </c>
    </row>
    <row r="13" spans="1:55" x14ac:dyDescent="0.2">
      <c r="A13" s="63" t="str">
        <f si="5" t="shared"/>
        <v>СКБСЖРозницаБанкострахованиеЛайфСКБЖНСЖДетский капиталЕдиновременнаяНовый</v>
      </c>
      <c r="B13" s="27" t="s">
        <v>4</v>
      </c>
      <c r="C13" s="1" t="str">
        <f>IFERROR(VLOOKUP(D13,Каналы!$B:$C,2,0),"")</f>
        <v>Розница</v>
      </c>
      <c r="D13" s="27" t="s">
        <v>204</v>
      </c>
      <c r="E13" s="1"/>
      <c r="F13" s="27"/>
      <c r="G13" s="27"/>
      <c r="H13" s="1" t="s">
        <v>1</v>
      </c>
      <c r="I13" s="27" t="s">
        <v>209</v>
      </c>
      <c r="J13" s="53"/>
      <c r="K13" s="27" t="s">
        <v>2</v>
      </c>
      <c r="L13" s="27" t="s">
        <v>221</v>
      </c>
      <c r="M13" s="27" t="s">
        <v>194</v>
      </c>
      <c r="N13" s="27" t="s">
        <v>29</v>
      </c>
      <c r="O13" s="5"/>
      <c r="P13" s="5"/>
      <c r="Q13" s="5"/>
      <c r="R13" s="5">
        <v>19800000</v>
      </c>
      <c r="S13" s="5">
        <v>16540000</v>
      </c>
      <c r="T13" s="5">
        <v>9280000</v>
      </c>
      <c r="U13" s="5">
        <v>10340000</v>
      </c>
      <c r="V13" s="5">
        <v>11910000</v>
      </c>
      <c r="W13" s="5">
        <v>7279079</v>
      </c>
      <c r="X13" s="69">
        <v>10000000</v>
      </c>
      <c r="Y13" s="69">
        <v>10000000</v>
      </c>
      <c r="Z13" s="69">
        <v>10000000</v>
      </c>
      <c r="AA13" s="4">
        <f si="2" t="shared"/>
        <v>105149079</v>
      </c>
      <c r="AB13" s="41">
        <v>10000000</v>
      </c>
      <c r="AC13" s="41">
        <v>10000000</v>
      </c>
      <c r="AD13" s="41">
        <v>10000000</v>
      </c>
      <c r="AE13" s="41">
        <v>10000000</v>
      </c>
      <c r="AF13" s="41">
        <v>10000000</v>
      </c>
      <c r="AG13" s="41">
        <v>10000000</v>
      </c>
      <c r="AH13" s="41">
        <v>12000000</v>
      </c>
      <c r="AI13" s="41">
        <v>12000000</v>
      </c>
      <c r="AJ13" s="41">
        <v>12000000</v>
      </c>
      <c r="AK13" s="41">
        <v>15000000</v>
      </c>
      <c r="AL13" s="41">
        <v>15000000</v>
      </c>
      <c r="AM13" s="41">
        <v>15000000</v>
      </c>
      <c r="AN13" s="4">
        <f si="3" t="shared"/>
        <v>141000000</v>
      </c>
      <c r="AO13" s="27"/>
      <c r="AP13" s="27"/>
      <c r="AQ13" s="42"/>
      <c r="AR13" s="42"/>
      <c r="AS13" s="42"/>
      <c r="AT13" s="42"/>
      <c r="AU13" s="27"/>
      <c r="AV13" s="27"/>
      <c r="AW13" s="13" t="s">
        <v>268</v>
      </c>
      <c r="AX13" s="41"/>
      <c r="AY13" s="41"/>
      <c r="AZ13" s="41"/>
      <c r="BA13" s="63">
        <f si="6" t="shared"/>
        <v>10000000</v>
      </c>
      <c r="BB13" s="63">
        <f si="7" t="shared"/>
        <v>10000000</v>
      </c>
      <c r="BC13" s="63">
        <f si="8" t="shared"/>
        <v>10000000</v>
      </c>
    </row>
    <row r="14" spans="1:55" x14ac:dyDescent="0.2">
      <c r="A14" s="63" t="str">
        <f si="5" t="shared"/>
        <v>СКБСЖРозницаБанкострахованиеЛайфСКБЖНСЖМаксимальная выгодаРегулярнаяПролонгация</v>
      </c>
      <c r="B14" s="27" t="s">
        <v>4</v>
      </c>
      <c r="C14" s="1" t="str">
        <f>IFERROR(VLOOKUP(D14,Каналы!$B:$C,2,0),"")</f>
        <v>Розница</v>
      </c>
      <c r="D14" s="27" t="s">
        <v>204</v>
      </c>
      <c r="E14" s="1"/>
      <c r="F14" s="27"/>
      <c r="G14" s="27"/>
      <c r="H14" s="1" t="s">
        <v>1</v>
      </c>
      <c r="I14" s="27" t="s">
        <v>209</v>
      </c>
      <c r="J14" s="53"/>
      <c r="K14" s="27" t="s">
        <v>2</v>
      </c>
      <c r="L14" s="27" t="s">
        <v>199</v>
      </c>
      <c r="M14" s="27" t="s">
        <v>193</v>
      </c>
      <c r="N14" s="27" t="s">
        <v>48</v>
      </c>
      <c r="O14" s="5">
        <v>19330000</v>
      </c>
      <c r="P14" s="5">
        <v>17660000</v>
      </c>
      <c r="Q14" s="5">
        <v>11250000</v>
      </c>
      <c r="R14" s="5">
        <v>5810000</v>
      </c>
      <c r="S14" s="5">
        <v>9710000</v>
      </c>
      <c r="T14" s="5">
        <v>23660000</v>
      </c>
      <c r="U14" s="5">
        <v>18560000</v>
      </c>
      <c r="V14" s="5">
        <v>12300000</v>
      </c>
      <c r="W14" s="5">
        <v>21420000</v>
      </c>
      <c r="X14" s="69">
        <v>17500000</v>
      </c>
      <c r="Y14" s="69">
        <v>17500000</v>
      </c>
      <c r="Z14" s="69">
        <v>18000000</v>
      </c>
      <c r="AA14" s="4">
        <f si="2" t="shared"/>
        <v>192700000</v>
      </c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">
        <f si="3" t="shared"/>
        <v>0</v>
      </c>
      <c r="AO14" s="27"/>
      <c r="AP14" s="27"/>
      <c r="AQ14" s="42"/>
      <c r="AR14" s="42"/>
      <c r="AS14" s="42"/>
      <c r="AT14" s="42"/>
      <c r="AU14" s="27"/>
      <c r="AV14" s="27"/>
      <c r="AW14" s="13" t="s">
        <v>267</v>
      </c>
      <c r="AX14" s="41">
        <v>3250000</v>
      </c>
      <c r="AY14" s="41">
        <v>3250000</v>
      </c>
      <c r="AZ14" s="41">
        <v>3250000</v>
      </c>
      <c r="BA14" s="63">
        <f si="6" t="shared"/>
        <v>14250000</v>
      </c>
      <c r="BB14" s="63">
        <f si="7" t="shared"/>
        <v>14250000</v>
      </c>
      <c r="BC14" s="63">
        <f si="8" t="shared"/>
        <v>14750000</v>
      </c>
    </row>
    <row r="15" spans="1:55" x14ac:dyDescent="0.2">
      <c r="A15" s="63" t="str">
        <f si="5" t="shared"/>
        <v>СКБСЖРозницаБанкострахованиеЛайфСКБЖНСЖПрочее (СКБЖ)ЕдиновременнаяНовый</v>
      </c>
      <c r="B15" s="27" t="s">
        <v>4</v>
      </c>
      <c r="C15" s="1" t="str">
        <f>IFERROR(VLOOKUP(D15,Каналы!$B:$C,2,0),"")</f>
        <v>Розница</v>
      </c>
      <c r="D15" s="27" t="s">
        <v>204</v>
      </c>
      <c r="E15" s="1"/>
      <c r="F15" s="27"/>
      <c r="G15" s="27"/>
      <c r="H15" s="1" t="s">
        <v>1</v>
      </c>
      <c r="I15" s="27" t="s">
        <v>209</v>
      </c>
      <c r="J15" s="53"/>
      <c r="K15" s="27" t="s">
        <v>2</v>
      </c>
      <c r="L15" s="27" t="s">
        <v>214</v>
      </c>
      <c r="M15" s="27" t="s">
        <v>194</v>
      </c>
      <c r="N15" s="27" t="s">
        <v>29</v>
      </c>
      <c r="O15" s="5">
        <v>9181746.0000000019</v>
      </c>
      <c r="P15" s="5">
        <v>12461991</v>
      </c>
      <c r="Q15" s="5">
        <v>13482629</v>
      </c>
      <c r="R15" s="5">
        <v>2856378</v>
      </c>
      <c r="S15" s="5"/>
      <c r="T15" s="5"/>
      <c r="U15" s="5"/>
      <c r="V15" s="5"/>
      <c r="W15" s="5"/>
      <c r="X15" s="69"/>
      <c r="Y15" s="69"/>
      <c r="Z15" s="69"/>
      <c r="AA15" s="4">
        <f ref="AA15:AA74" si="9" t="shared">SUM(O15:Z15)</f>
        <v>37982744</v>
      </c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">
        <f ref="AN15:AN74" si="10" t="shared">SUM(AB15:AM15)</f>
        <v>0</v>
      </c>
      <c r="AO15" s="27"/>
      <c r="AP15" s="27"/>
      <c r="AQ15" s="42"/>
      <c r="AR15" s="42"/>
      <c r="AS15" s="42"/>
      <c r="AT15" s="42"/>
      <c r="AU15" s="27"/>
      <c r="AV15" s="27"/>
      <c r="AW15" s="13">
        <v>0</v>
      </c>
      <c r="AX15" s="41"/>
      <c r="AY15" s="41"/>
      <c r="AZ15" s="41"/>
      <c r="BA15" s="63">
        <f si="6" t="shared"/>
        <v>0</v>
      </c>
      <c r="BB15" s="63">
        <f si="7" t="shared"/>
        <v>0</v>
      </c>
      <c r="BC15" s="63">
        <f si="8" t="shared"/>
        <v>0</v>
      </c>
    </row>
    <row r="16" spans="1:55" x14ac:dyDescent="0.2">
      <c r="A16" s="63" t="str">
        <f si="5" t="shared"/>
        <v>СКБСЖРозницаБанкострахованиеЛайфСКБЖНСЖПрочее (СКБЖ)РегулярнаяНовый</v>
      </c>
      <c r="B16" s="27" t="s">
        <v>4</v>
      </c>
      <c r="C16" s="1" t="str">
        <f>IFERROR(VLOOKUP(D16,Каналы!$B:$C,2,0),"")</f>
        <v>Розница</v>
      </c>
      <c r="D16" s="27" t="s">
        <v>204</v>
      </c>
      <c r="E16" s="1"/>
      <c r="F16" s="27"/>
      <c r="G16" s="27"/>
      <c r="H16" s="1" t="s">
        <v>1</v>
      </c>
      <c r="I16" s="27" t="s">
        <v>209</v>
      </c>
      <c r="J16" s="53"/>
      <c r="K16" s="27" t="s">
        <v>2</v>
      </c>
      <c r="L16" s="27" t="s">
        <v>214</v>
      </c>
      <c r="M16" s="27" t="s">
        <v>193</v>
      </c>
      <c r="N16" s="27" t="s">
        <v>29</v>
      </c>
      <c r="O16" s="5">
        <v>9126664.6500000004</v>
      </c>
      <c r="P16" s="5">
        <v>5379997.2300000004</v>
      </c>
      <c r="Q16" s="5">
        <v>6099997.7999999998</v>
      </c>
      <c r="R16" s="5">
        <v>5220004.3600000003</v>
      </c>
      <c r="S16" s="5">
        <v>4568462.54</v>
      </c>
      <c r="T16" s="5">
        <v>3797269.97</v>
      </c>
      <c r="U16" s="5">
        <v>3774374.75</v>
      </c>
      <c r="V16" s="5">
        <v>2502657.2199999997</v>
      </c>
      <c r="W16" s="5">
        <v>1696500.95</v>
      </c>
      <c r="X16" s="69">
        <v>3800000</v>
      </c>
      <c r="Y16" s="69">
        <v>2500000</v>
      </c>
      <c r="Z16" s="69">
        <v>1700000</v>
      </c>
      <c r="AA16" s="4">
        <f si="9" t="shared"/>
        <v>50165929.469999999</v>
      </c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">
        <f si="10" t="shared"/>
        <v>0</v>
      </c>
      <c r="AO16" s="27"/>
      <c r="AP16" s="27"/>
      <c r="AQ16" s="42"/>
      <c r="AR16" s="42"/>
      <c r="AS16" s="42"/>
      <c r="AT16" s="42"/>
      <c r="AU16" s="27"/>
      <c r="AV16" s="27"/>
      <c r="AW16" s="13" t="s">
        <v>267</v>
      </c>
      <c r="AX16" s="41"/>
      <c r="AY16" s="41"/>
      <c r="AZ16" s="41"/>
      <c r="BA16" s="63">
        <f si="6" t="shared"/>
        <v>3800000</v>
      </c>
      <c r="BB16" s="63">
        <f si="7" t="shared"/>
        <v>2500000</v>
      </c>
      <c r="BC16" s="63">
        <f si="8" t="shared"/>
        <v>1700000</v>
      </c>
    </row>
    <row r="17" spans="1:55" x14ac:dyDescent="0.2">
      <c r="A17" s="63" t="str">
        <f si="5" t="shared"/>
        <v>СКБСЖРозницаБанкострахованиеЛайфСКБЖНСЖПрочее (СКБЖ)РегулярнаяПролонгация</v>
      </c>
      <c r="B17" s="27" t="s">
        <v>4</v>
      </c>
      <c r="C17" s="1" t="str">
        <f>IFERROR(VLOOKUP(D17,Каналы!$B:$C,2,0),"")</f>
        <v>Розница</v>
      </c>
      <c r="D17" s="27" t="s">
        <v>204</v>
      </c>
      <c r="E17" s="1"/>
      <c r="F17" s="27"/>
      <c r="G17" s="27"/>
      <c r="H17" s="1" t="s">
        <v>1</v>
      </c>
      <c r="I17" s="27" t="s">
        <v>209</v>
      </c>
      <c r="J17" s="53"/>
      <c r="K17" s="27" t="s">
        <v>2</v>
      </c>
      <c r="L17" s="27" t="s">
        <v>214</v>
      </c>
      <c r="M17" s="27" t="s">
        <v>193</v>
      </c>
      <c r="N17" s="27" t="s">
        <v>48</v>
      </c>
      <c r="O17" s="5">
        <v>4385385.3699999992</v>
      </c>
      <c r="P17" s="5">
        <v>1848439.54</v>
      </c>
      <c r="Q17" s="5">
        <v>7086679.5200000005</v>
      </c>
      <c r="R17" s="5">
        <v>2877013.22</v>
      </c>
      <c r="S17" s="5">
        <v>6254546.29</v>
      </c>
      <c r="T17" s="5">
        <v>5401937.4799999995</v>
      </c>
      <c r="U17" s="5">
        <v>4377641.4400000004</v>
      </c>
      <c r="V17" s="5">
        <v>4775136.1900000004</v>
      </c>
      <c r="W17" s="5">
        <v>4447598.9899999993</v>
      </c>
      <c r="X17" s="69">
        <v>4400000</v>
      </c>
      <c r="Y17" s="69">
        <v>4800000</v>
      </c>
      <c r="Z17" s="69">
        <v>4500000</v>
      </c>
      <c r="AA17" s="4">
        <f si="9" t="shared"/>
        <v>55154378.040000007</v>
      </c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">
        <f si="10" t="shared"/>
        <v>0</v>
      </c>
      <c r="AO17" s="27"/>
      <c r="AP17" s="27"/>
      <c r="AQ17" s="42"/>
      <c r="AR17" s="42"/>
      <c r="AS17" s="42"/>
      <c r="AT17" s="42"/>
      <c r="AU17" s="27"/>
      <c r="AV17" s="27"/>
      <c r="AW17" s="13" t="s">
        <v>267</v>
      </c>
      <c r="AX17" s="41"/>
      <c r="AY17" s="41"/>
      <c r="AZ17" s="41"/>
      <c r="BA17" s="63">
        <f si="6" t="shared"/>
        <v>4400000</v>
      </c>
      <c r="BB17" s="63">
        <f si="7" t="shared"/>
        <v>4800000</v>
      </c>
      <c r="BC17" s="63">
        <f si="8" t="shared"/>
        <v>4500000</v>
      </c>
    </row>
    <row r="18" spans="1:55" x14ac:dyDescent="0.2">
      <c r="A18" s="63" t="str">
        <f si="5" t="shared"/>
        <v>СКБСЖРозницаБанкострахованиеНон-лайфСКБЖНСДело жизниЕдиновременнаяНовый</v>
      </c>
      <c r="B18" s="27" t="s">
        <v>4</v>
      </c>
      <c r="C18" s="1" t="str">
        <f>IFERROR(VLOOKUP(D18,Каналы!$B:$C,2,0),"")</f>
        <v>Розница</v>
      </c>
      <c r="D18" s="27" t="s">
        <v>204</v>
      </c>
      <c r="E18" s="1"/>
      <c r="F18" s="27"/>
      <c r="G18" s="27"/>
      <c r="H18" s="1" t="s">
        <v>30</v>
      </c>
      <c r="I18" s="27" t="s">
        <v>209</v>
      </c>
      <c r="J18" s="53"/>
      <c r="K18" s="27" t="s">
        <v>33</v>
      </c>
      <c r="L18" s="27" t="s">
        <v>196</v>
      </c>
      <c r="M18" s="27" t="s">
        <v>194</v>
      </c>
      <c r="N18" s="27" t="s">
        <v>29</v>
      </c>
      <c r="O18" s="5"/>
      <c r="P18" s="5"/>
      <c r="Q18" s="5"/>
      <c r="R18" s="5">
        <v>1273238</v>
      </c>
      <c r="S18" s="5">
        <v>1089003</v>
      </c>
      <c r="T18" s="5">
        <v>699567</v>
      </c>
      <c r="U18" s="5">
        <v>674164</v>
      </c>
      <c r="V18" s="5">
        <v>1126318</v>
      </c>
      <c r="W18" s="5">
        <v>1072079</v>
      </c>
      <c r="X18" s="69">
        <v>1049354.781425701</v>
      </c>
      <c r="Y18" s="69">
        <v>1043389.1620331337</v>
      </c>
      <c r="Z18" s="69">
        <v>1065228.512109783</v>
      </c>
      <c r="AA18" s="4">
        <f si="9" t="shared"/>
        <v>9092341.4555686172</v>
      </c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">
        <f si="10" t="shared"/>
        <v>0</v>
      </c>
      <c r="AO18" s="27"/>
      <c r="AP18" s="27"/>
      <c r="AQ18" s="42"/>
      <c r="AR18" s="42"/>
      <c r="AS18" s="42"/>
      <c r="AT18" s="42"/>
      <c r="AU18" s="27"/>
      <c r="AV18" s="27"/>
      <c r="AW18" s="13" t="s">
        <v>22</v>
      </c>
      <c r="AX18" s="41"/>
      <c r="AY18" s="41"/>
      <c r="AZ18" s="41"/>
      <c r="BA18" s="63">
        <f si="6" t="shared"/>
        <v>1049354.781425701</v>
      </c>
      <c r="BB18" s="63">
        <f si="7" t="shared"/>
        <v>1043389.1620331337</v>
      </c>
      <c r="BC18" s="63">
        <f si="8" t="shared"/>
        <v>1065228.512109783</v>
      </c>
    </row>
    <row r="19" spans="1:55" x14ac:dyDescent="0.2">
      <c r="A19" s="63" t="str">
        <f si="5" t="shared"/>
        <v>СКБСЖРозницаБанкострахованиеНон-лайфСКБЖНСНСЕдиновременнаяНовый</v>
      </c>
      <c r="B19" s="27" t="s">
        <v>4</v>
      </c>
      <c r="C19" s="1" t="str">
        <f>IFERROR(VLOOKUP(D19,Каналы!$B:$C,2,0),"")</f>
        <v>Розница</v>
      </c>
      <c r="D19" s="27" t="s">
        <v>204</v>
      </c>
      <c r="E19" s="1"/>
      <c r="F19" s="27"/>
      <c r="G19" s="27"/>
      <c r="H19" s="1" t="s">
        <v>30</v>
      </c>
      <c r="I19" s="27" t="s">
        <v>209</v>
      </c>
      <c r="J19" s="53"/>
      <c r="K19" s="27" t="s">
        <v>33</v>
      </c>
      <c r="L19" s="27" t="s">
        <v>33</v>
      </c>
      <c r="M19" s="27" t="s">
        <v>194</v>
      </c>
      <c r="N19" s="27" t="s">
        <v>29</v>
      </c>
      <c r="O19" s="5">
        <v>48254</v>
      </c>
      <c r="P19" s="5">
        <v>58009</v>
      </c>
      <c r="Q19" s="5">
        <v>67371</v>
      </c>
      <c r="R19" s="5">
        <v>13622</v>
      </c>
      <c r="S19" s="5"/>
      <c r="T19" s="5"/>
      <c r="U19" s="5"/>
      <c r="V19" s="5"/>
      <c r="W19" s="5"/>
      <c r="X19" s="69"/>
      <c r="Y19" s="69"/>
      <c r="Z19" s="69"/>
      <c r="AA19" s="4">
        <f si="9" t="shared"/>
        <v>187256</v>
      </c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">
        <f si="10" t="shared"/>
        <v>0</v>
      </c>
      <c r="AO19" s="27"/>
      <c r="AP19" s="27"/>
      <c r="AQ19" s="42"/>
      <c r="AR19" s="42"/>
      <c r="AS19" s="42"/>
      <c r="AT19" s="42"/>
      <c r="AU19" s="27"/>
      <c r="AV19" s="27"/>
      <c r="AW19" s="13">
        <v>0</v>
      </c>
      <c r="AX19" s="41"/>
      <c r="AY19" s="41"/>
      <c r="AZ19" s="41"/>
      <c r="BA19" s="63">
        <f si="6" t="shared"/>
        <v>0</v>
      </c>
      <c r="BB19" s="63">
        <f si="7" t="shared"/>
        <v>0</v>
      </c>
      <c r="BC19" s="63">
        <f si="8" t="shared"/>
        <v>0</v>
      </c>
    </row>
    <row r="20" spans="1:55" x14ac:dyDescent="0.2">
      <c r="A20" s="63" t="str">
        <f si="5" t="shared"/>
        <v>СКБСЖРозницаБанкострахованиеНон-лайфСКБЖНСНСРегулярнаяНовый</v>
      </c>
      <c r="B20" s="27" t="s">
        <v>4</v>
      </c>
      <c r="C20" s="1" t="str">
        <f>IFERROR(VLOOKUP(D20,Каналы!$B:$C,2,0),"")</f>
        <v>Розница</v>
      </c>
      <c r="D20" s="27" t="s">
        <v>204</v>
      </c>
      <c r="E20" s="1"/>
      <c r="F20" s="27"/>
      <c r="G20" s="27"/>
      <c r="H20" s="1" t="s">
        <v>30</v>
      </c>
      <c r="I20" s="27" t="s">
        <v>209</v>
      </c>
      <c r="J20" s="53"/>
      <c r="K20" s="27" t="s">
        <v>33</v>
      </c>
      <c r="L20" s="27" t="s">
        <v>33</v>
      </c>
      <c r="M20" s="27" t="s">
        <v>193</v>
      </c>
      <c r="N20" s="27" t="s">
        <v>29</v>
      </c>
      <c r="O20" s="5">
        <v>2252.6400000000099</v>
      </c>
      <c r="P20" s="5">
        <v>1484.5200000000091</v>
      </c>
      <c r="Q20" s="5">
        <v>551.0300000000093</v>
      </c>
      <c r="R20" s="5">
        <v>384.46000000000856</v>
      </c>
      <c r="S20" s="5">
        <v>374.29000000000838</v>
      </c>
      <c r="T20" s="5">
        <v>396.04000000000849</v>
      </c>
      <c r="U20" s="5">
        <v>290.54000000000752</v>
      </c>
      <c r="V20" s="5">
        <v>281.80000000000717</v>
      </c>
      <c r="W20" s="5">
        <v>283.62000000000671</v>
      </c>
      <c r="X20" s="69">
        <v>300</v>
      </c>
      <c r="Y20" s="69">
        <v>300</v>
      </c>
      <c r="Z20" s="69">
        <v>300</v>
      </c>
      <c r="AA20" s="4">
        <f si="9" t="shared"/>
        <v>7198.9400000000733</v>
      </c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">
        <f si="10" t="shared"/>
        <v>0</v>
      </c>
      <c r="AO20" s="27"/>
      <c r="AP20" s="27"/>
      <c r="AQ20" s="42"/>
      <c r="AR20" s="42"/>
      <c r="AS20" s="42"/>
      <c r="AT20" s="42"/>
      <c r="AU20" s="27"/>
      <c r="AV20" s="27"/>
      <c r="AW20" s="13" t="s">
        <v>267</v>
      </c>
      <c r="AX20" s="41"/>
      <c r="AY20" s="41"/>
      <c r="AZ20" s="41"/>
      <c r="BA20" s="63">
        <f si="6" t="shared"/>
        <v>300</v>
      </c>
      <c r="BB20" s="63">
        <f si="7" t="shared"/>
        <v>300</v>
      </c>
      <c r="BC20" s="63">
        <f si="8" t="shared"/>
        <v>300</v>
      </c>
    </row>
    <row r="21" spans="1:55" x14ac:dyDescent="0.2">
      <c r="A21" s="63" t="str">
        <f si="5" t="shared"/>
        <v>СКБСЖРозницаБанкострахованиеНон-лайфСКБЖНСНСРегулярнаяПролонгация</v>
      </c>
      <c r="B21" s="27" t="s">
        <v>4</v>
      </c>
      <c r="C21" s="1" t="str">
        <f>IFERROR(VLOOKUP(D21,Каналы!$B:$C,2,0),"")</f>
        <v>Розница</v>
      </c>
      <c r="D21" s="27" t="s">
        <v>204</v>
      </c>
      <c r="E21" s="1"/>
      <c r="F21" s="27"/>
      <c r="G21" s="27"/>
      <c r="H21" s="1" t="s">
        <v>30</v>
      </c>
      <c r="I21" s="27" t="s">
        <v>209</v>
      </c>
      <c r="J21" s="53"/>
      <c r="K21" s="27" t="s">
        <v>33</v>
      </c>
      <c r="L21" s="27" t="s">
        <v>33</v>
      </c>
      <c r="M21" s="27" t="s">
        <v>193</v>
      </c>
      <c r="N21" s="27" t="s">
        <v>48</v>
      </c>
      <c r="O21" s="5">
        <v>4428539.9800000191</v>
      </c>
      <c r="P21" s="5">
        <v>4067644.7500000196</v>
      </c>
      <c r="Q21" s="5">
        <v>4066931.9100000197</v>
      </c>
      <c r="R21" s="5">
        <v>4266778.620000015</v>
      </c>
      <c r="S21" s="5">
        <v>4555055.6300000111</v>
      </c>
      <c r="T21" s="5">
        <v>3888445.3800000101</v>
      </c>
      <c r="U21" s="5">
        <v>3958772.440000006</v>
      </c>
      <c r="V21" s="5">
        <v>3474961.9400000013</v>
      </c>
      <c r="W21" s="5">
        <v>3155161.1100000055</v>
      </c>
      <c r="X21" s="69">
        <v>3000000</v>
      </c>
      <c r="Y21" s="69">
        <v>3000000</v>
      </c>
      <c r="Z21" s="69">
        <v>3000000</v>
      </c>
      <c r="AA21" s="4">
        <f si="9" t="shared"/>
        <v>44862291.760000102</v>
      </c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">
        <f si="10" t="shared"/>
        <v>0</v>
      </c>
      <c r="AO21" s="27"/>
      <c r="AP21" s="27"/>
      <c r="AQ21" s="42"/>
      <c r="AR21" s="42"/>
      <c r="AS21" s="42"/>
      <c r="AT21" s="42"/>
      <c r="AU21" s="27"/>
      <c r="AV21" s="27"/>
      <c r="AW21" s="13" t="s">
        <v>266</v>
      </c>
      <c r="AX21" s="41">
        <v>3000000</v>
      </c>
      <c r="AY21" s="41">
        <v>3000000</v>
      </c>
      <c r="AZ21" s="41">
        <v>3000000</v>
      </c>
      <c r="BA21" s="63">
        <f si="6" t="shared"/>
        <v>0</v>
      </c>
      <c r="BB21" s="63">
        <f si="7" t="shared"/>
        <v>0</v>
      </c>
      <c r="BC21" s="63">
        <f si="8" t="shared"/>
        <v>0</v>
      </c>
    </row>
    <row customHeight="1" ht="14" r="22" spans="1:55" x14ac:dyDescent="0.2">
      <c r="A22" s="63" t="str">
        <f si="5" t="shared"/>
        <v>СКБСЖРозницаWMЛайфНовыйОтдел заботыГКГибкий курсЕдиновременнаяНовый</v>
      </c>
      <c r="B22" s="27" t="s">
        <v>4</v>
      </c>
      <c r="C22" s="1" t="str">
        <f>IFERROR(VLOOKUP(D22,Каналы!$B:$C,2,0),"")</f>
        <v>Розница</v>
      </c>
      <c r="D22" s="27" t="s">
        <v>6</v>
      </c>
      <c r="E22" s="1"/>
      <c r="F22" s="27"/>
      <c r="G22" s="27"/>
      <c r="H22" s="1" t="s">
        <v>1</v>
      </c>
      <c r="I22" s="27" t="s">
        <v>29</v>
      </c>
      <c r="J22" s="53" t="s">
        <v>263</v>
      </c>
      <c r="K22" s="27" t="s">
        <v>241</v>
      </c>
      <c r="L22" s="27" t="s">
        <v>202</v>
      </c>
      <c r="M22" s="27" t="s">
        <v>194</v>
      </c>
      <c r="N22" s="27" t="s">
        <v>29</v>
      </c>
      <c r="O22" s="5"/>
      <c r="P22" s="5">
        <v>170000</v>
      </c>
      <c r="Q22" s="5">
        <v>13210990</v>
      </c>
      <c r="R22" s="5">
        <v>2860000</v>
      </c>
      <c r="S22" s="5">
        <v>66890000</v>
      </c>
      <c r="T22" s="5">
        <v>6982000</v>
      </c>
      <c r="U22" s="5">
        <v>7119907.0000000298</v>
      </c>
      <c r="V22" s="5">
        <v>9239999.9999999702</v>
      </c>
      <c r="W22" s="5">
        <v>10773123.340000033</v>
      </c>
      <c r="X22" s="69">
        <v>7150000</v>
      </c>
      <c r="Y22" s="69">
        <v>9250000</v>
      </c>
      <c r="Z22" s="69">
        <v>10800000</v>
      </c>
      <c r="AA22" s="4">
        <f si="9" t="shared"/>
        <v>144446020.34000003</v>
      </c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">
        <f si="10" t="shared"/>
        <v>0</v>
      </c>
      <c r="AO22" s="27"/>
      <c r="AP22" s="27"/>
      <c r="AQ22" s="42"/>
      <c r="AR22" s="42"/>
      <c r="AS22" s="42"/>
      <c r="AT22" s="42"/>
      <c r="AU22" s="27"/>
      <c r="AV22" s="27"/>
      <c r="AW22" s="13" t="s">
        <v>268</v>
      </c>
      <c r="AX22" s="41"/>
      <c r="AY22" s="41"/>
      <c r="AZ22" s="41"/>
      <c r="BA22" s="63">
        <f si="6" t="shared"/>
        <v>7150000</v>
      </c>
      <c r="BB22" s="63">
        <f si="7" t="shared"/>
        <v>9250000</v>
      </c>
      <c r="BC22" s="63">
        <f si="8" t="shared"/>
        <v>10800000</v>
      </c>
    </row>
    <row r="23" spans="1:55" x14ac:dyDescent="0.2">
      <c r="A23" s="63" t="str">
        <f si="5" t="shared"/>
        <v>СКБСЖРозницаWMЛайфНовыйНСЖ_КБНСЖ с КэшбекомРегулярнаяНовый</v>
      </c>
      <c r="B23" s="27" t="s">
        <v>4</v>
      </c>
      <c r="C23" s="1" t="str">
        <f>IFERROR(VLOOKUP(D23,Каналы!$B:$C,2,0),"")</f>
        <v>Розница</v>
      </c>
      <c r="D23" s="27" t="s">
        <v>6</v>
      </c>
      <c r="E23" s="1"/>
      <c r="F23" s="27"/>
      <c r="G23" s="27"/>
      <c r="H23" s="1" t="s">
        <v>1</v>
      </c>
      <c r="I23" s="27" t="s">
        <v>29</v>
      </c>
      <c r="J23" s="53"/>
      <c r="K23" s="27" t="s">
        <v>242</v>
      </c>
      <c r="L23" s="27" t="s">
        <v>208</v>
      </c>
      <c r="M23" s="27" t="s">
        <v>193</v>
      </c>
      <c r="N23" s="27" t="s">
        <v>29</v>
      </c>
      <c r="O23" s="5">
        <v>3020000</v>
      </c>
      <c r="P23" s="5">
        <v>6540000</v>
      </c>
      <c r="Q23" s="5">
        <v>4950000</v>
      </c>
      <c r="R23" s="5">
        <v>3800000</v>
      </c>
      <c r="S23" s="5">
        <v>1970000</v>
      </c>
      <c r="T23" s="5">
        <v>1420000</v>
      </c>
      <c r="U23" s="5">
        <v>8950000</v>
      </c>
      <c r="V23" s="5">
        <v>12330000</v>
      </c>
      <c r="W23" s="5">
        <v>11710000</v>
      </c>
      <c r="X23" s="69">
        <v>3500000</v>
      </c>
      <c r="Y23" s="69">
        <v>3500000</v>
      </c>
      <c r="Z23" s="69">
        <v>3500000</v>
      </c>
      <c r="AA23" s="4">
        <f si="9" t="shared"/>
        <v>65190000</v>
      </c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">
        <f si="10" t="shared"/>
        <v>0</v>
      </c>
      <c r="AO23" s="27"/>
      <c r="AP23" s="27"/>
      <c r="AQ23" s="42"/>
      <c r="AR23" s="42"/>
      <c r="AS23" s="42"/>
      <c r="AT23" s="42"/>
      <c r="AU23" s="27"/>
      <c r="AV23" s="27"/>
      <c r="AW23" s="13" t="s">
        <v>269</v>
      </c>
      <c r="AX23" s="41"/>
      <c r="AY23" s="41"/>
      <c r="AZ23" s="41">
        <v>3500000</v>
      </c>
      <c r="BA23" s="63">
        <f si="6" t="shared"/>
        <v>3500000</v>
      </c>
      <c r="BB23" s="63">
        <f si="7" t="shared"/>
        <v>3500000</v>
      </c>
      <c r="BC23" s="63">
        <f si="8" t="shared"/>
        <v>0</v>
      </c>
    </row>
    <row r="24" spans="1:55" x14ac:dyDescent="0.2">
      <c r="A24" s="63" t="str">
        <f si="5" t="shared"/>
        <v>СКБСЖРозницаWMЛайфНовыйНСЖ_КБНСЖ с КэшбекомРегулярнаяПролонгация</v>
      </c>
      <c r="B24" s="27" t="s">
        <v>4</v>
      </c>
      <c r="C24" s="1" t="str">
        <f>IFERROR(VLOOKUP(D24,Каналы!$B:$C,2,0),"")</f>
        <v>Розница</v>
      </c>
      <c r="D24" s="27" t="s">
        <v>6</v>
      </c>
      <c r="E24" s="1"/>
      <c r="F24" s="27"/>
      <c r="G24" s="27"/>
      <c r="H24" s="1" t="s">
        <v>1</v>
      </c>
      <c r="I24" s="27" t="s">
        <v>29</v>
      </c>
      <c r="J24" s="53"/>
      <c r="K24" s="27" t="s">
        <v>242</v>
      </c>
      <c r="L24" s="27" t="s">
        <v>208</v>
      </c>
      <c r="M24" s="27" t="s">
        <v>193</v>
      </c>
      <c r="N24" s="27" t="s">
        <v>48</v>
      </c>
      <c r="O24" s="5">
        <v>1120000</v>
      </c>
      <c r="P24" s="5"/>
      <c r="Q24" s="5"/>
      <c r="R24" s="5"/>
      <c r="S24" s="5"/>
      <c r="T24" s="5"/>
      <c r="U24" s="5"/>
      <c r="V24" s="5"/>
      <c r="W24" s="5"/>
      <c r="X24" s="69"/>
      <c r="Y24" s="69"/>
      <c r="Z24" s="69"/>
      <c r="AA24" s="4">
        <f si="9" t="shared"/>
        <v>1120000</v>
      </c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">
        <f si="10" t="shared"/>
        <v>0</v>
      </c>
      <c r="AO24" s="27"/>
      <c r="AP24" s="27"/>
      <c r="AQ24" s="42"/>
      <c r="AR24" s="42"/>
      <c r="AS24" s="42"/>
      <c r="AT24" s="42"/>
      <c r="AU24" s="27"/>
      <c r="AV24" s="27"/>
      <c r="AW24" s="13">
        <v>0</v>
      </c>
      <c r="AX24" s="41"/>
      <c r="AY24" s="41"/>
      <c r="AZ24" s="41"/>
      <c r="BA24" s="63">
        <f si="6" t="shared"/>
        <v>0</v>
      </c>
      <c r="BB24" s="63">
        <f si="7" t="shared"/>
        <v>0</v>
      </c>
      <c r="BC24" s="63">
        <f si="8" t="shared"/>
        <v>0</v>
      </c>
    </row>
    <row r="25" spans="1:55" x14ac:dyDescent="0.2">
      <c r="A25" s="63" t="str">
        <f si="5" t="shared"/>
        <v>СКБСЖРозницаWMЛайфСКБЖИСЖ_СИВПрочее (СИВ)ЕдиновременнаяНовый</v>
      </c>
      <c r="B25" s="27" t="s">
        <v>4</v>
      </c>
      <c r="C25" s="1" t="str">
        <f>IFERROR(VLOOKUP(D25,Каналы!$B:$C,2,0),"")</f>
        <v>Розница</v>
      </c>
      <c r="D25" s="65" t="s">
        <v>6</v>
      </c>
      <c r="E25" s="1"/>
      <c r="F25" s="27"/>
      <c r="G25" s="27"/>
      <c r="H25" s="1" t="s">
        <v>1</v>
      </c>
      <c r="I25" s="27" t="s">
        <v>209</v>
      </c>
      <c r="J25" s="53"/>
      <c r="K25" s="27" t="s">
        <v>245</v>
      </c>
      <c r="L25" s="27" t="s">
        <v>223</v>
      </c>
      <c r="M25" s="27" t="s">
        <v>194</v>
      </c>
      <c r="N25" s="27" t="s">
        <v>29</v>
      </c>
      <c r="O25" s="5">
        <v>0</v>
      </c>
      <c r="P25" s="5">
        <v>85000000</v>
      </c>
      <c r="Q25" s="5">
        <v>60000000</v>
      </c>
      <c r="R25" s="5">
        <v>80000000</v>
      </c>
      <c r="S25" s="5">
        <v>0</v>
      </c>
      <c r="T25" s="5">
        <v>0</v>
      </c>
      <c r="U25" s="5">
        <v>0</v>
      </c>
      <c r="V25" s="5">
        <v>30000000</v>
      </c>
      <c r="W25" s="5">
        <v>0</v>
      </c>
      <c r="X25" s="69"/>
      <c r="Y25" s="69"/>
      <c r="Z25" s="69"/>
      <c r="AA25" s="4">
        <f si="9" t="shared"/>
        <v>255000000</v>
      </c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">
        <f si="10" t="shared"/>
        <v>0</v>
      </c>
      <c r="AO25" s="27"/>
      <c r="AP25" s="27"/>
      <c r="AQ25" s="42"/>
      <c r="AR25" s="42"/>
      <c r="AS25" s="42"/>
      <c r="AT25" s="42"/>
      <c r="AU25" s="27"/>
      <c r="AV25" s="27"/>
      <c r="AW25" s="13" t="s">
        <v>270</v>
      </c>
      <c r="AX25" s="41"/>
      <c r="AY25" s="41"/>
      <c r="AZ25" s="41"/>
      <c r="BA25" s="63">
        <f si="6" t="shared"/>
        <v>0</v>
      </c>
      <c r="BB25" s="63">
        <f si="7" t="shared"/>
        <v>0</v>
      </c>
      <c r="BC25" s="63">
        <f si="8" t="shared"/>
        <v>0</v>
      </c>
    </row>
    <row r="26" spans="1:55" x14ac:dyDescent="0.2">
      <c r="A26" s="63" t="str">
        <f si="5" t="shared"/>
        <v>СКБСЖРозницаРозница (прочее)ЛайфСКБЖНСЖДело жизниЕдиновременнаяНовый</v>
      </c>
      <c r="B26" s="27" t="s">
        <v>4</v>
      </c>
      <c r="C26" s="1" t="str">
        <f>IFERROR(VLOOKUP(D26,Каналы!$B:$C,2,0),"")</f>
        <v>Розница</v>
      </c>
      <c r="D26" s="27" t="s">
        <v>206</v>
      </c>
      <c r="E26" s="1"/>
      <c r="F26" s="27"/>
      <c r="G26" s="27"/>
      <c r="H26" s="1" t="s">
        <v>1</v>
      </c>
      <c r="I26" s="27" t="s">
        <v>209</v>
      </c>
      <c r="J26" s="53"/>
      <c r="K26" s="27" t="s">
        <v>2</v>
      </c>
      <c r="L26" s="27" t="s">
        <v>196</v>
      </c>
      <c r="M26" s="27" t="s">
        <v>194</v>
      </c>
      <c r="N26" s="27" t="s">
        <v>29</v>
      </c>
      <c r="O26" s="5"/>
      <c r="P26" s="5"/>
      <c r="Q26" s="5"/>
      <c r="R26" s="5"/>
      <c r="S26" s="5"/>
      <c r="T26" s="5"/>
      <c r="U26" s="5"/>
      <c r="V26" s="5"/>
      <c r="W26" s="5"/>
      <c r="X26" s="69"/>
      <c r="Y26" s="69"/>
      <c r="Z26" s="69"/>
      <c r="AA26" s="4">
        <f si="9" t="shared"/>
        <v>0</v>
      </c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">
        <f si="10" t="shared"/>
        <v>0</v>
      </c>
      <c r="AO26" s="27"/>
      <c r="AP26" s="27"/>
      <c r="AQ26" s="42"/>
      <c r="AR26" s="42"/>
      <c r="AS26" s="42"/>
      <c r="AT26" s="42"/>
      <c r="AU26" s="27"/>
      <c r="AV26" s="27"/>
      <c r="AW26" s="13" t="s">
        <v>271</v>
      </c>
      <c r="AX26" s="41"/>
      <c r="AY26" s="41"/>
      <c r="AZ26" s="41"/>
      <c r="BA26" s="63">
        <f si="6" t="shared"/>
        <v>0</v>
      </c>
      <c r="BB26" s="63">
        <f si="7" t="shared"/>
        <v>0</v>
      </c>
      <c r="BC26" s="63">
        <f si="8" t="shared"/>
        <v>0</v>
      </c>
    </row>
    <row r="27" spans="1:55" x14ac:dyDescent="0.2">
      <c r="A27" s="63" t="str">
        <f si="5" t="shared"/>
        <v>СКБСЖРозницаРозница (прочее)ЛайфСКБЖНСЖПрочее (СКБЖ)РегулярнаяНовый</v>
      </c>
      <c r="B27" s="27" t="s">
        <v>4</v>
      </c>
      <c r="C27" s="1" t="str">
        <f>IFERROR(VLOOKUP(D27,Каналы!$B:$C,2,0),"")</f>
        <v>Розница</v>
      </c>
      <c r="D27" s="27" t="s">
        <v>206</v>
      </c>
      <c r="E27" s="1"/>
      <c r="F27" s="27"/>
      <c r="G27" s="27"/>
      <c r="H27" s="1" t="s">
        <v>1</v>
      </c>
      <c r="I27" s="27" t="s">
        <v>209</v>
      </c>
      <c r="J27" s="53"/>
      <c r="K27" s="27" t="s">
        <v>2</v>
      </c>
      <c r="L27" s="27" t="s">
        <v>214</v>
      </c>
      <c r="M27" s="27" t="s">
        <v>193</v>
      </c>
      <c r="N27" s="27" t="s">
        <v>29</v>
      </c>
      <c r="O27" s="5"/>
      <c r="P27" s="5"/>
      <c r="Q27" s="5"/>
      <c r="R27" s="5"/>
      <c r="S27" s="5"/>
      <c r="T27" s="5"/>
      <c r="U27" s="5"/>
      <c r="V27" s="5"/>
      <c r="W27" s="5"/>
      <c r="X27" s="69"/>
      <c r="Y27" s="69"/>
      <c r="Z27" s="69"/>
      <c r="AA27" s="4">
        <f si="9" t="shared"/>
        <v>0</v>
      </c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">
        <f si="10" t="shared"/>
        <v>0</v>
      </c>
      <c r="AO27" s="27"/>
      <c r="AP27" s="27"/>
      <c r="AQ27" s="42"/>
      <c r="AR27" s="42"/>
      <c r="AS27" s="42"/>
      <c r="AT27" s="42"/>
      <c r="AU27" s="27"/>
      <c r="AV27" s="27"/>
      <c r="AW27" s="13" t="s">
        <v>272</v>
      </c>
      <c r="AX27" s="41"/>
      <c r="AY27" s="41"/>
      <c r="AZ27" s="41"/>
      <c r="BA27" s="63">
        <f si="6" t="shared"/>
        <v>0</v>
      </c>
      <c r="BB27" s="63">
        <f si="7" t="shared"/>
        <v>0</v>
      </c>
      <c r="BC27" s="63">
        <f si="8" t="shared"/>
        <v>0</v>
      </c>
    </row>
    <row r="28" spans="1:55" x14ac:dyDescent="0.2">
      <c r="A28" s="63" t="str">
        <f si="5" t="shared"/>
        <v>СКБСЖРозницаРозница (прочее)ЛайфСКБЖНСЖПрочее (СКБЖ)РегулярнаяПролонгация</v>
      </c>
      <c r="B28" s="27" t="s">
        <v>4</v>
      </c>
      <c r="C28" s="1" t="str">
        <f>IFERROR(VLOOKUP(D28,Каналы!$B:$C,2,0),"")</f>
        <v>Розница</v>
      </c>
      <c r="D28" s="27" t="s">
        <v>206</v>
      </c>
      <c r="E28" s="1"/>
      <c r="F28" s="27"/>
      <c r="G28" s="27"/>
      <c r="H28" s="1" t="s">
        <v>1</v>
      </c>
      <c r="I28" s="27" t="s">
        <v>209</v>
      </c>
      <c r="J28" s="53"/>
      <c r="K28" s="27" t="s">
        <v>2</v>
      </c>
      <c r="L28" s="27" t="s">
        <v>214</v>
      </c>
      <c r="M28" s="27" t="s">
        <v>193</v>
      </c>
      <c r="N28" s="27" t="s">
        <v>48</v>
      </c>
      <c r="O28" s="5"/>
      <c r="P28" s="5"/>
      <c r="Q28" s="5"/>
      <c r="R28" s="5"/>
      <c r="S28" s="5"/>
      <c r="T28" s="5"/>
      <c r="U28" s="5"/>
      <c r="V28" s="5"/>
      <c r="W28" s="5"/>
      <c r="X28" s="69"/>
      <c r="Y28" s="69"/>
      <c r="Z28" s="69"/>
      <c r="AA28" s="4">
        <f si="9" t="shared"/>
        <v>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">
        <f si="10" t="shared"/>
        <v>0</v>
      </c>
      <c r="AO28" s="27"/>
      <c r="AP28" s="27"/>
      <c r="AQ28" s="42"/>
      <c r="AR28" s="42"/>
      <c r="AS28" s="42"/>
      <c r="AT28" s="42"/>
      <c r="AU28" s="27"/>
      <c r="AV28" s="27"/>
      <c r="AW28" s="13" t="s">
        <v>272</v>
      </c>
      <c r="AX28" s="41"/>
      <c r="AY28" s="41"/>
      <c r="AZ28" s="41"/>
      <c r="BA28" s="63">
        <f si="6" t="shared"/>
        <v>0</v>
      </c>
      <c r="BB28" s="63">
        <f si="7" t="shared"/>
        <v>0</v>
      </c>
      <c r="BC28" s="63">
        <f si="8" t="shared"/>
        <v>0</v>
      </c>
    </row>
    <row r="29" spans="1:55" x14ac:dyDescent="0.2">
      <c r="A29" s="63" t="str">
        <f si="5" t="shared"/>
        <v>СКБСЖРозницаWMЛайфСКБЖНСЖ_СИВCiti ComfortРегулярнаяПролонгация</v>
      </c>
      <c r="B29" s="27" t="s">
        <v>4</v>
      </c>
      <c r="C29" s="1" t="str">
        <f>IFERROR(VLOOKUP(D29,Каналы!$B:$C,2,0),"")</f>
        <v>Розница</v>
      </c>
      <c r="D29" s="65" t="s">
        <v>6</v>
      </c>
      <c r="E29" s="1"/>
      <c r="F29" s="27"/>
      <c r="G29" s="27"/>
      <c r="H29" s="1" t="s">
        <v>1</v>
      </c>
      <c r="I29" s="27" t="s">
        <v>209</v>
      </c>
      <c r="J29" s="53"/>
      <c r="K29" s="27" t="s">
        <v>246</v>
      </c>
      <c r="L29" s="27" t="s">
        <v>224</v>
      </c>
      <c r="M29" s="27" t="s">
        <v>193</v>
      </c>
      <c r="N29" s="27" t="s">
        <v>48</v>
      </c>
      <c r="O29" s="5">
        <v>18410376.559999999</v>
      </c>
      <c r="P29" s="5">
        <v>21487152.879999995</v>
      </c>
      <c r="Q29" s="5">
        <v>47554502.279999994</v>
      </c>
      <c r="R29" s="5">
        <v>19857180.420000009</v>
      </c>
      <c r="S29" s="5">
        <v>38031109.739999995</v>
      </c>
      <c r="T29" s="5">
        <v>29276082.130000003</v>
      </c>
      <c r="U29" s="5">
        <v>36137477.969999991</v>
      </c>
      <c r="V29" s="5">
        <v>28538487.310000002</v>
      </c>
      <c r="W29" s="5">
        <v>18640075.370000001</v>
      </c>
      <c r="X29" s="69">
        <v>36500000</v>
      </c>
      <c r="Y29" s="69">
        <v>29000000</v>
      </c>
      <c r="Z29" s="69">
        <v>19000000</v>
      </c>
      <c r="AA29" s="4">
        <f si="9" t="shared"/>
        <v>342432444.65999997</v>
      </c>
      <c r="AB29" s="41">
        <f>O29*0.5</f>
        <v>9205188.2799999993</v>
      </c>
      <c r="AC29" s="41">
        <f ref="AC29:AM29" si="11" t="shared">P29*0.5</f>
        <v>10743576.439999998</v>
      </c>
      <c r="AD29" s="41">
        <f si="11" t="shared"/>
        <v>23777251.139999997</v>
      </c>
      <c r="AE29" s="41">
        <f si="11" t="shared"/>
        <v>9928590.2100000046</v>
      </c>
      <c r="AF29" s="41">
        <f si="11" t="shared"/>
        <v>19015554.869999997</v>
      </c>
      <c r="AG29" s="41">
        <f si="11" t="shared"/>
        <v>14638041.065000001</v>
      </c>
      <c r="AH29" s="41">
        <f si="11" t="shared"/>
        <v>18068738.984999996</v>
      </c>
      <c r="AI29" s="41">
        <f si="11" t="shared"/>
        <v>14269243.655000001</v>
      </c>
      <c r="AJ29" s="41">
        <f si="11" t="shared"/>
        <v>9320037.6850000005</v>
      </c>
      <c r="AK29" s="41">
        <f si="11" t="shared"/>
        <v>18250000</v>
      </c>
      <c r="AL29" s="41">
        <f si="11" t="shared"/>
        <v>14500000</v>
      </c>
      <c r="AM29" s="41">
        <f si="11" t="shared"/>
        <v>9500000</v>
      </c>
      <c r="AN29" s="4">
        <f si="10" t="shared"/>
        <v>171216222.32999998</v>
      </c>
      <c r="AO29" s="27"/>
      <c r="AP29" s="27"/>
      <c r="AQ29" s="42"/>
      <c r="AR29" s="42"/>
      <c r="AS29" s="42"/>
      <c r="AT29" s="42"/>
      <c r="AU29" s="27"/>
      <c r="AV29" s="27"/>
      <c r="AW29" s="13" t="s">
        <v>267</v>
      </c>
      <c r="AX29" s="41"/>
      <c r="AY29" s="41"/>
      <c r="AZ29" s="41"/>
      <c r="BA29" s="63">
        <f si="6" t="shared"/>
        <v>36500000</v>
      </c>
      <c r="BB29" s="63">
        <f si="7" t="shared"/>
        <v>29000000</v>
      </c>
      <c r="BC29" s="63">
        <f si="8" t="shared"/>
        <v>19000000</v>
      </c>
    </row>
    <row r="30" spans="1:55" x14ac:dyDescent="0.2">
      <c r="A30" s="63" t="str">
        <f si="5" t="shared"/>
        <v>СКБСЖРозницаWMЛайфСКБЖНСЖ_СИВCiti HealthЕдиновременнаяНовый</v>
      </c>
      <c r="B30" s="27" t="s">
        <v>4</v>
      </c>
      <c r="C30" s="1" t="str">
        <f>IFERROR(VLOOKUP(D30,Каналы!$B:$C,2,0),"")</f>
        <v>Розница</v>
      </c>
      <c r="D30" s="65" t="s">
        <v>6</v>
      </c>
      <c r="E30" s="1"/>
      <c r="F30" s="27"/>
      <c r="G30" s="27"/>
      <c r="H30" s="1" t="s">
        <v>1</v>
      </c>
      <c r="I30" s="27" t="s">
        <v>209</v>
      </c>
      <c r="J30" s="53"/>
      <c r="K30" s="27" t="s">
        <v>246</v>
      </c>
      <c r="L30" s="27" t="s">
        <v>225</v>
      </c>
      <c r="M30" s="27" t="s">
        <v>194</v>
      </c>
      <c r="N30" s="27" t="s">
        <v>29</v>
      </c>
      <c r="O30" s="5">
        <v>0</v>
      </c>
      <c r="P30" s="5"/>
      <c r="Q30" s="5"/>
      <c r="R30" s="5"/>
      <c r="S30" s="5"/>
      <c r="T30" s="5"/>
      <c r="U30" s="5"/>
      <c r="V30" s="5"/>
      <c r="W30" s="5">
        <v>0</v>
      </c>
      <c r="X30" s="69"/>
      <c r="Y30" s="69"/>
      <c r="Z30" s="69"/>
      <c r="AA30" s="4">
        <f si="9" t="shared"/>
        <v>0</v>
      </c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">
        <f si="10" t="shared"/>
        <v>0</v>
      </c>
      <c r="AO30" s="27"/>
      <c r="AP30" s="27"/>
      <c r="AQ30" s="42"/>
      <c r="AR30" s="42"/>
      <c r="AS30" s="42"/>
      <c r="AT30" s="42"/>
      <c r="AU30" s="27"/>
      <c r="AV30" s="27"/>
      <c r="AW30" s="13">
        <v>0</v>
      </c>
      <c r="AX30" s="41"/>
      <c r="AY30" s="41"/>
      <c r="AZ30" s="41"/>
      <c r="BA30" s="63">
        <f si="6" t="shared"/>
        <v>0</v>
      </c>
      <c r="BB30" s="63">
        <f si="7" t="shared"/>
        <v>0</v>
      </c>
      <c r="BC30" s="63">
        <f si="8" t="shared"/>
        <v>0</v>
      </c>
    </row>
    <row r="31" spans="1:55" x14ac:dyDescent="0.2">
      <c r="A31" s="63" t="str">
        <f si="5" t="shared"/>
        <v>СКБСЖРозницаWMЛайфСКБЖНСЖ_СИВCiti HealthРегулярнаяПролонгация</v>
      </c>
      <c r="B31" s="27" t="s">
        <v>4</v>
      </c>
      <c r="C31" s="1" t="str">
        <f>IFERROR(VLOOKUP(D31,Каналы!$B:$C,2,0),"")</f>
        <v>Розница</v>
      </c>
      <c r="D31" s="65" t="s">
        <v>6</v>
      </c>
      <c r="E31" s="1"/>
      <c r="F31" s="27"/>
      <c r="G31" s="27"/>
      <c r="H31" s="1" t="s">
        <v>1</v>
      </c>
      <c r="I31" s="27" t="s">
        <v>209</v>
      </c>
      <c r="J31" s="53"/>
      <c r="K31" s="27" t="s">
        <v>246</v>
      </c>
      <c r="L31" s="27" t="s">
        <v>225</v>
      </c>
      <c r="M31" s="27" t="s">
        <v>193</v>
      </c>
      <c r="N31" s="27" t="s">
        <v>48</v>
      </c>
      <c r="O31" s="5">
        <v>20658385.099999998</v>
      </c>
      <c r="P31" s="5">
        <v>30591992.93</v>
      </c>
      <c r="Q31" s="5">
        <v>23807663.079999994</v>
      </c>
      <c r="R31" s="5">
        <v>57329914.210000008</v>
      </c>
      <c r="S31" s="5">
        <v>32240017.790000003</v>
      </c>
      <c r="T31" s="5">
        <v>43752002.140000001</v>
      </c>
      <c r="U31" s="5">
        <v>30135268.539999999</v>
      </c>
      <c r="V31" s="5">
        <v>18398510.560000002</v>
      </c>
      <c r="W31" s="5">
        <v>18218175.93</v>
      </c>
      <c r="X31" s="69">
        <v>31200000</v>
      </c>
      <c r="Y31" s="69">
        <v>18500000</v>
      </c>
      <c r="Z31" s="69">
        <v>18500000</v>
      </c>
      <c r="AA31" s="4">
        <f si="9" t="shared"/>
        <v>343331930.27999997</v>
      </c>
      <c r="AB31" s="41">
        <f>O31*0.5</f>
        <v>10329192.549999999</v>
      </c>
      <c r="AC31" s="41">
        <f ref="AC31:AM31" si="12" t="shared">P31*0.5</f>
        <v>15295996.465</v>
      </c>
      <c r="AD31" s="41">
        <f si="12" t="shared"/>
        <v>11903831.539999997</v>
      </c>
      <c r="AE31" s="41">
        <f si="12" t="shared"/>
        <v>28664957.105000004</v>
      </c>
      <c r="AF31" s="41">
        <f si="12" t="shared"/>
        <v>16120008.895000001</v>
      </c>
      <c r="AG31" s="41">
        <f si="12" t="shared"/>
        <v>21876001.07</v>
      </c>
      <c r="AH31" s="41">
        <f si="12" t="shared"/>
        <v>15067634.27</v>
      </c>
      <c r="AI31" s="41">
        <f si="12" t="shared"/>
        <v>9199255.2800000012</v>
      </c>
      <c r="AJ31" s="41">
        <f si="12" t="shared"/>
        <v>9109087.9649999999</v>
      </c>
      <c r="AK31" s="41">
        <f si="12" t="shared"/>
        <v>15600000</v>
      </c>
      <c r="AL31" s="41">
        <f si="12" t="shared"/>
        <v>9250000</v>
      </c>
      <c r="AM31" s="41">
        <f si="12" t="shared"/>
        <v>9250000</v>
      </c>
      <c r="AN31" s="4">
        <f si="10" t="shared"/>
        <v>171665965.13999999</v>
      </c>
      <c r="AO31" s="27"/>
      <c r="AP31" s="27"/>
      <c r="AQ31" s="42"/>
      <c r="AR31" s="42"/>
      <c r="AS31" s="42"/>
      <c r="AT31" s="42"/>
      <c r="AU31" s="27"/>
      <c r="AV31" s="27"/>
      <c r="AW31" s="13" t="s">
        <v>267</v>
      </c>
      <c r="AX31" s="41"/>
      <c r="AY31" s="41"/>
      <c r="AZ31" s="41"/>
      <c r="BA31" s="63">
        <f si="6" t="shared"/>
        <v>31200000</v>
      </c>
      <c r="BB31" s="63">
        <f si="7" t="shared"/>
        <v>18500000</v>
      </c>
      <c r="BC31" s="63">
        <f si="8" t="shared"/>
        <v>18500000</v>
      </c>
    </row>
    <row r="32" spans="1:55" x14ac:dyDescent="0.2">
      <c r="A32" s="63" t="str">
        <f si="5" t="shared"/>
        <v>СКБСЖРозницаWMЛайфСКБЖНСЖ_СИВCiti KidsЕдиновременнаяНовый</v>
      </c>
      <c r="B32" s="27" t="s">
        <v>4</v>
      </c>
      <c r="C32" s="1" t="str">
        <f>IFERROR(VLOOKUP(D32,Каналы!$B:$C,2,0),"")</f>
        <v>Розница</v>
      </c>
      <c r="D32" s="65" t="s">
        <v>6</v>
      </c>
      <c r="E32" s="1"/>
      <c r="F32" s="27"/>
      <c r="G32" s="27"/>
      <c r="H32" s="1" t="s">
        <v>1</v>
      </c>
      <c r="I32" s="27" t="s">
        <v>209</v>
      </c>
      <c r="J32" s="53"/>
      <c r="K32" s="27" t="s">
        <v>246</v>
      </c>
      <c r="L32" s="27" t="s">
        <v>226</v>
      </c>
      <c r="M32" s="27" t="s">
        <v>194</v>
      </c>
      <c r="N32" s="27" t="s">
        <v>29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69"/>
      <c r="Y32" s="69"/>
      <c r="Z32" s="69"/>
      <c r="AA32" s="4">
        <f si="9" t="shared"/>
        <v>0</v>
      </c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">
        <f si="10" t="shared"/>
        <v>0</v>
      </c>
      <c r="AO32" s="27"/>
      <c r="AP32" s="27"/>
      <c r="AQ32" s="42"/>
      <c r="AR32" s="42"/>
      <c r="AS32" s="42"/>
      <c r="AT32" s="42"/>
      <c r="AU32" s="27"/>
      <c r="AV32" s="27"/>
      <c r="AW32" s="13">
        <v>0</v>
      </c>
      <c r="AX32" s="41"/>
      <c r="AY32" s="41"/>
      <c r="AZ32" s="41"/>
      <c r="BA32" s="63">
        <f si="6" t="shared"/>
        <v>0</v>
      </c>
      <c r="BB32" s="63">
        <f si="7" t="shared"/>
        <v>0</v>
      </c>
      <c r="BC32" s="63">
        <f si="8" t="shared"/>
        <v>0</v>
      </c>
    </row>
    <row r="33" spans="1:55" x14ac:dyDescent="0.2">
      <c r="A33" s="63" t="str">
        <f si="5" t="shared"/>
        <v>СКБСЖРозницаWMЛайфСКБЖНСЖ_СИВCiti KidsРегулярнаяПролонгация</v>
      </c>
      <c r="B33" s="27" t="s">
        <v>4</v>
      </c>
      <c r="C33" s="1" t="str">
        <f>IFERROR(VLOOKUP(D33,Каналы!$B:$C,2,0),"")</f>
        <v>Розница</v>
      </c>
      <c r="D33" s="65" t="s">
        <v>6</v>
      </c>
      <c r="E33" s="1"/>
      <c r="F33" s="27"/>
      <c r="G33" s="27"/>
      <c r="H33" s="1" t="s">
        <v>1</v>
      </c>
      <c r="I33" s="27" t="s">
        <v>209</v>
      </c>
      <c r="J33" s="53"/>
      <c r="K33" s="27" t="s">
        <v>246</v>
      </c>
      <c r="L33" s="27" t="s">
        <v>226</v>
      </c>
      <c r="M33" s="27" t="s">
        <v>193</v>
      </c>
      <c r="N33" s="27" t="s">
        <v>48</v>
      </c>
      <c r="O33" s="5">
        <v>5831098.0100000007</v>
      </c>
      <c r="P33" s="5">
        <v>6117249.4900000002</v>
      </c>
      <c r="Q33" s="5">
        <v>7756441.2599999988</v>
      </c>
      <c r="R33" s="5">
        <v>4418466.3</v>
      </c>
      <c r="S33" s="5">
        <v>5748158.3200000003</v>
      </c>
      <c r="T33" s="5">
        <v>9817342.2199999969</v>
      </c>
      <c r="U33" s="5">
        <v>3900115.4199999995</v>
      </c>
      <c r="V33" s="5">
        <v>6670744.4300000006</v>
      </c>
      <c r="W33" s="5">
        <v>10019313.260000002</v>
      </c>
      <c r="X33" s="69">
        <v>400000</v>
      </c>
      <c r="Y33" s="69">
        <v>6700000</v>
      </c>
      <c r="Z33" s="69">
        <v>10000000</v>
      </c>
      <c r="AA33" s="4">
        <f si="9" t="shared"/>
        <v>77378928.709999993</v>
      </c>
      <c r="AB33" s="41">
        <f>O33*0.5</f>
        <v>2915549.0050000004</v>
      </c>
      <c r="AC33" s="41">
        <f ref="AC33:AM33" si="13" t="shared">P33*0.5</f>
        <v>3058624.7450000001</v>
      </c>
      <c r="AD33" s="41">
        <f si="13" t="shared"/>
        <v>3878220.6299999994</v>
      </c>
      <c r="AE33" s="41">
        <f si="13" t="shared"/>
        <v>2209233.15</v>
      </c>
      <c r="AF33" s="41">
        <f si="13" t="shared"/>
        <v>2874079.16</v>
      </c>
      <c r="AG33" s="41">
        <f si="13" t="shared"/>
        <v>4908671.1099999985</v>
      </c>
      <c r="AH33" s="41">
        <f si="13" t="shared"/>
        <v>1950057.7099999997</v>
      </c>
      <c r="AI33" s="41">
        <f si="13" t="shared"/>
        <v>3335372.2150000003</v>
      </c>
      <c r="AJ33" s="41">
        <f si="13" t="shared"/>
        <v>5009656.6300000008</v>
      </c>
      <c r="AK33" s="41">
        <f si="13" t="shared"/>
        <v>200000</v>
      </c>
      <c r="AL33" s="41">
        <f si="13" t="shared"/>
        <v>3350000</v>
      </c>
      <c r="AM33" s="41">
        <f si="13" t="shared"/>
        <v>5000000</v>
      </c>
      <c r="AN33" s="4">
        <f si="10" t="shared"/>
        <v>38689464.354999997</v>
      </c>
      <c r="AO33" s="27"/>
      <c r="AP33" s="27"/>
      <c r="AQ33" s="42"/>
      <c r="AR33" s="42"/>
      <c r="AS33" s="42"/>
      <c r="AT33" s="42"/>
      <c r="AU33" s="27"/>
      <c r="AV33" s="27"/>
      <c r="AW33" s="13" t="s">
        <v>267</v>
      </c>
      <c r="AX33" s="41"/>
      <c r="AY33" s="41"/>
      <c r="AZ33" s="41"/>
      <c r="BA33" s="63">
        <f si="6" t="shared"/>
        <v>400000</v>
      </c>
      <c r="BB33" s="63">
        <f si="7" t="shared"/>
        <v>6700000</v>
      </c>
      <c r="BC33" s="63">
        <f si="8" t="shared"/>
        <v>10000000</v>
      </c>
    </row>
    <row r="34" spans="1:55" x14ac:dyDescent="0.2">
      <c r="A34" s="63" t="str">
        <f si="5" t="shared"/>
        <v>СКБСЖРозницаWMЛайфСКБЖНСЖ_СИВCiti PremiumЕдиновременнаяНовый</v>
      </c>
      <c r="B34" s="27" t="s">
        <v>4</v>
      </c>
      <c r="C34" s="1" t="str">
        <f>IFERROR(VLOOKUP(D34,Каналы!$B:$C,2,0),"")</f>
        <v>Розница</v>
      </c>
      <c r="D34" s="65" t="s">
        <v>6</v>
      </c>
      <c r="E34" s="1"/>
      <c r="F34" s="27"/>
      <c r="G34" s="27"/>
      <c r="H34" s="1" t="s">
        <v>1</v>
      </c>
      <c r="I34" s="27" t="s">
        <v>209</v>
      </c>
      <c r="J34" s="53"/>
      <c r="K34" s="27" t="s">
        <v>246</v>
      </c>
      <c r="L34" s="27" t="s">
        <v>227</v>
      </c>
      <c r="M34" s="27" t="s">
        <v>194</v>
      </c>
      <c r="N34" s="27" t="s">
        <v>29</v>
      </c>
      <c r="O34" s="5"/>
      <c r="P34" s="5">
        <v>0</v>
      </c>
      <c r="Q34" s="5"/>
      <c r="R34" s="5"/>
      <c r="S34" s="5"/>
      <c r="T34" s="5"/>
      <c r="U34" s="5"/>
      <c r="V34" s="5">
        <v>0</v>
      </c>
      <c r="W34" s="5"/>
      <c r="X34" s="69"/>
      <c r="Y34" s="69"/>
      <c r="Z34" s="69"/>
      <c r="AA34" s="4">
        <f si="9" t="shared"/>
        <v>0</v>
      </c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">
        <f si="10" t="shared"/>
        <v>0</v>
      </c>
      <c r="AO34" s="27"/>
      <c r="AP34" s="27"/>
      <c r="AQ34" s="42"/>
      <c r="AR34" s="42"/>
      <c r="AS34" s="42"/>
      <c r="AT34" s="42"/>
      <c r="AU34" s="27"/>
      <c r="AV34" s="27"/>
      <c r="AW34" s="13">
        <v>0</v>
      </c>
      <c r="AX34" s="41"/>
      <c r="AY34" s="41"/>
      <c r="AZ34" s="41"/>
      <c r="BA34" s="63">
        <f si="6" t="shared"/>
        <v>0</v>
      </c>
      <c r="BB34" s="63">
        <f si="7" t="shared"/>
        <v>0</v>
      </c>
      <c r="BC34" s="63">
        <f si="8" t="shared"/>
        <v>0</v>
      </c>
    </row>
    <row r="35" spans="1:55" x14ac:dyDescent="0.2">
      <c r="A35" s="63" t="str">
        <f si="5" t="shared"/>
        <v>СКБСЖРозницаWMЛайфСКБЖНСЖ_СИВCiti PremiumРегулярнаяПролонгация</v>
      </c>
      <c r="B35" s="27" t="s">
        <v>4</v>
      </c>
      <c r="C35" s="1" t="str">
        <f>IFERROR(VLOOKUP(D35,Каналы!$B:$C,2,0),"")</f>
        <v>Розница</v>
      </c>
      <c r="D35" s="65" t="s">
        <v>6</v>
      </c>
      <c r="E35" s="1"/>
      <c r="F35" s="27"/>
      <c r="G35" s="27"/>
      <c r="H35" s="1" t="s">
        <v>1</v>
      </c>
      <c r="I35" s="27" t="s">
        <v>209</v>
      </c>
      <c r="J35" s="53"/>
      <c r="K35" s="27" t="s">
        <v>246</v>
      </c>
      <c r="L35" s="27" t="s">
        <v>227</v>
      </c>
      <c r="M35" s="27" t="s">
        <v>193</v>
      </c>
      <c r="N35" s="27" t="s">
        <v>48</v>
      </c>
      <c r="O35" s="5">
        <v>13187632.860000003</v>
      </c>
      <c r="P35" s="5">
        <v>12480846.390000001</v>
      </c>
      <c r="Q35" s="5">
        <v>7726525.5399999972</v>
      </c>
      <c r="R35" s="5">
        <v>19139303.710000001</v>
      </c>
      <c r="S35" s="5">
        <v>15472514.959999992</v>
      </c>
      <c r="T35" s="5">
        <v>18532815.420000009</v>
      </c>
      <c r="U35" s="5">
        <v>14041566.560000001</v>
      </c>
      <c r="V35" s="5">
        <v>11396479.759999996</v>
      </c>
      <c r="W35" s="5">
        <v>15022084.199999996</v>
      </c>
      <c r="X35" s="69">
        <v>14000000</v>
      </c>
      <c r="Y35" s="69">
        <v>11400000</v>
      </c>
      <c r="Z35" s="69">
        <v>15000000</v>
      </c>
      <c r="AA35" s="4">
        <f si="9" t="shared"/>
        <v>167399769.39999998</v>
      </c>
      <c r="AB35" s="41">
        <f>O35*0.5</f>
        <v>6593816.4300000016</v>
      </c>
      <c r="AC35" s="41">
        <f ref="AC35:AM35" si="14" t="shared">P35*0.5</f>
        <v>6240423.1950000003</v>
      </c>
      <c r="AD35" s="41">
        <f si="14" t="shared"/>
        <v>3863262.7699999986</v>
      </c>
      <c r="AE35" s="41">
        <f si="14" t="shared"/>
        <v>9569651.8550000004</v>
      </c>
      <c r="AF35" s="41">
        <f si="14" t="shared"/>
        <v>7736257.4799999958</v>
      </c>
      <c r="AG35" s="41">
        <f si="14" t="shared"/>
        <v>9266407.7100000046</v>
      </c>
      <c r="AH35" s="41">
        <f si="14" t="shared"/>
        <v>7020783.2800000003</v>
      </c>
      <c r="AI35" s="41">
        <f si="14" t="shared"/>
        <v>5698239.879999998</v>
      </c>
      <c r="AJ35" s="41">
        <f si="14" t="shared"/>
        <v>7511042.0999999978</v>
      </c>
      <c r="AK35" s="41">
        <f si="14" t="shared"/>
        <v>7000000</v>
      </c>
      <c r="AL35" s="41">
        <f si="14" t="shared"/>
        <v>5700000</v>
      </c>
      <c r="AM35" s="41">
        <f si="14" t="shared"/>
        <v>7500000</v>
      </c>
      <c r="AN35" s="4">
        <f si="10" t="shared"/>
        <v>83699884.699999988</v>
      </c>
      <c r="AO35" s="27"/>
      <c r="AP35" s="27"/>
      <c r="AQ35" s="42"/>
      <c r="AR35" s="42"/>
      <c r="AS35" s="42"/>
      <c r="AT35" s="42"/>
      <c r="AU35" s="27"/>
      <c r="AV35" s="27"/>
      <c r="AW35" s="13" t="s">
        <v>267</v>
      </c>
      <c r="AX35" s="41"/>
      <c r="AY35" s="41"/>
      <c r="AZ35" s="41"/>
      <c r="BA35" s="63">
        <f si="6" t="shared"/>
        <v>14000000</v>
      </c>
      <c r="BB35" s="63">
        <f si="7" t="shared"/>
        <v>11400000</v>
      </c>
      <c r="BC35" s="63">
        <f si="8" t="shared"/>
        <v>15000000</v>
      </c>
    </row>
    <row r="36" spans="1:55" x14ac:dyDescent="0.2">
      <c r="A36" s="63" t="str">
        <f si="5" t="shared"/>
        <v>СКБСЖРозницаWMЛайфСКБЖНСЖ_СИВПрочее (СИВ)ЕдиновременнаяНовый</v>
      </c>
      <c r="B36" s="27" t="s">
        <v>4</v>
      </c>
      <c r="C36" s="1" t="str">
        <f>IFERROR(VLOOKUP(D36,Каналы!$B:$C,2,0),"")</f>
        <v>Розница</v>
      </c>
      <c r="D36" s="65" t="s">
        <v>6</v>
      </c>
      <c r="E36" s="1"/>
      <c r="F36" s="27"/>
      <c r="G36" s="27"/>
      <c r="H36" s="1" t="s">
        <v>1</v>
      </c>
      <c r="I36" s="27" t="s">
        <v>209</v>
      </c>
      <c r="J36" s="53"/>
      <c r="K36" s="27" t="s">
        <v>246</v>
      </c>
      <c r="L36" s="27" t="s">
        <v>223</v>
      </c>
      <c r="M36" s="27" t="s">
        <v>194</v>
      </c>
      <c r="N36" s="27" t="s">
        <v>29</v>
      </c>
      <c r="O36" s="5"/>
      <c r="P36" s="5">
        <v>0</v>
      </c>
      <c r="Q36" s="5"/>
      <c r="R36" s="5"/>
      <c r="S36" s="5"/>
      <c r="T36" s="5"/>
      <c r="U36" s="5"/>
      <c r="V36" s="5"/>
      <c r="W36" s="5"/>
      <c r="X36" s="69"/>
      <c r="Y36" s="69"/>
      <c r="Z36" s="69"/>
      <c r="AA36" s="4">
        <f si="9" t="shared"/>
        <v>0</v>
      </c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">
        <f si="10" t="shared"/>
        <v>0</v>
      </c>
      <c r="AO36" s="27"/>
      <c r="AP36" s="27"/>
      <c r="AQ36" s="42"/>
      <c r="AR36" s="42"/>
      <c r="AS36" s="42"/>
      <c r="AT36" s="42"/>
      <c r="AU36" s="27"/>
      <c r="AV36" s="27"/>
      <c r="AW36" s="13">
        <v>0</v>
      </c>
      <c r="AX36" s="41"/>
      <c r="AY36" s="41"/>
      <c r="AZ36" s="41"/>
      <c r="BA36" s="63">
        <f si="6" t="shared"/>
        <v>0</v>
      </c>
      <c r="BB36" s="63">
        <f si="7" t="shared"/>
        <v>0</v>
      </c>
      <c r="BC36" s="63">
        <f si="8" t="shared"/>
        <v>0</v>
      </c>
    </row>
    <row r="37" spans="1:55" x14ac:dyDescent="0.2">
      <c r="A37" s="63" t="str">
        <f si="5" t="shared"/>
        <v>СКБСЖРозницаWMЛайфСКБЖНСЖ_СИВПрочее (СИВ)РегулярнаяПролонгация</v>
      </c>
      <c r="B37" s="27" t="s">
        <v>4</v>
      </c>
      <c r="C37" s="1" t="str">
        <f>IFERROR(VLOOKUP(D37,Каналы!$B:$C,2,0),"")</f>
        <v>Розница</v>
      </c>
      <c r="D37" s="65" t="s">
        <v>6</v>
      </c>
      <c r="E37" s="1"/>
      <c r="F37" s="27"/>
      <c r="G37" s="27"/>
      <c r="H37" s="1" t="s">
        <v>1</v>
      </c>
      <c r="I37" s="27" t="s">
        <v>209</v>
      </c>
      <c r="J37" s="53"/>
      <c r="K37" s="27" t="s">
        <v>246</v>
      </c>
      <c r="L37" s="27" t="s">
        <v>223</v>
      </c>
      <c r="M37" s="27" t="s">
        <v>193</v>
      </c>
      <c r="N37" s="27" t="s">
        <v>48</v>
      </c>
      <c r="O37" s="5">
        <v>503886.87000000023</v>
      </c>
      <c r="P37" s="5">
        <v>5027505.5200000005</v>
      </c>
      <c r="Q37" s="5">
        <v>1765599.6800000006</v>
      </c>
      <c r="R37" s="5">
        <v>4102683.1300000008</v>
      </c>
      <c r="S37" s="5">
        <v>1189403.2000000007</v>
      </c>
      <c r="T37" s="5">
        <v>1983821.3800000004</v>
      </c>
      <c r="U37" s="5">
        <v>1014276.8500000017</v>
      </c>
      <c r="V37" s="5">
        <v>1549964.6399999987</v>
      </c>
      <c r="W37" s="5">
        <v>2316840.2499999958</v>
      </c>
      <c r="X37" s="69">
        <v>1000000</v>
      </c>
      <c r="Y37" s="69">
        <v>1500000</v>
      </c>
      <c r="Z37" s="69">
        <v>2350000</v>
      </c>
      <c r="AA37" s="4">
        <f si="9" t="shared"/>
        <v>24303981.52</v>
      </c>
      <c r="AB37" s="41">
        <f>O37*0.5</f>
        <v>251943.43500000011</v>
      </c>
      <c r="AC37" s="41">
        <f ref="AC37:AM37" si="15" t="shared">P37*0.5</f>
        <v>2513752.7600000002</v>
      </c>
      <c r="AD37" s="41">
        <f si="15" t="shared"/>
        <v>882799.84000000032</v>
      </c>
      <c r="AE37" s="41">
        <f si="15" t="shared"/>
        <v>2051341.5650000004</v>
      </c>
      <c r="AF37" s="41">
        <f si="15" t="shared"/>
        <v>594701.60000000033</v>
      </c>
      <c r="AG37" s="41">
        <f si="15" t="shared"/>
        <v>991910.69000000018</v>
      </c>
      <c r="AH37" s="41">
        <f si="15" t="shared"/>
        <v>507138.42500000086</v>
      </c>
      <c r="AI37" s="41">
        <f si="15" t="shared"/>
        <v>774982.31999999937</v>
      </c>
      <c r="AJ37" s="41">
        <f si="15" t="shared"/>
        <v>1158420.1249999979</v>
      </c>
      <c r="AK37" s="41">
        <f si="15" t="shared"/>
        <v>500000</v>
      </c>
      <c r="AL37" s="41">
        <f si="15" t="shared"/>
        <v>750000</v>
      </c>
      <c r="AM37" s="41">
        <f si="15" t="shared"/>
        <v>1175000</v>
      </c>
      <c r="AN37" s="4">
        <f si="10" t="shared"/>
        <v>12151990.76</v>
      </c>
      <c r="AO37" s="27"/>
      <c r="AP37" s="27"/>
      <c r="AQ37" s="42"/>
      <c r="AR37" s="42"/>
      <c r="AS37" s="42"/>
      <c r="AT37" s="42"/>
      <c r="AU37" s="27"/>
      <c r="AV37" s="27"/>
      <c r="AW37" s="67" t="s">
        <v>267</v>
      </c>
      <c r="AX37" s="41"/>
      <c r="AY37" s="41"/>
      <c r="AZ37" s="41"/>
      <c r="BA37" s="63">
        <f si="6" t="shared"/>
        <v>1000000</v>
      </c>
      <c r="BB37" s="63">
        <f si="7" t="shared"/>
        <v>1500000</v>
      </c>
      <c r="BC37" s="63">
        <f si="8" t="shared"/>
        <v>2350000</v>
      </c>
    </row>
    <row r="38" spans="1:55" x14ac:dyDescent="0.2">
      <c r="A38" s="63" t="str">
        <f si="5" t="shared"/>
        <v>СКБСЖРозницаWMЛайфСКБЖНСЖ_СИВСтабильный курсЕдиновременнаяНовый</v>
      </c>
      <c r="B38" s="27" t="s">
        <v>4</v>
      </c>
      <c r="C38" s="1" t="str">
        <f>IFERROR(VLOOKUP(D38,Каналы!$B:$C,2,0),"")</f>
        <v>Розница</v>
      </c>
      <c r="D38" s="27" t="s">
        <v>6</v>
      </c>
      <c r="E38" s="1"/>
      <c r="F38" s="27"/>
      <c r="G38" s="27"/>
      <c r="H38" s="1" t="s">
        <v>1</v>
      </c>
      <c r="I38" s="27" t="s">
        <v>209</v>
      </c>
      <c r="J38" s="53"/>
      <c r="K38" s="27" t="s">
        <v>246</v>
      </c>
      <c r="L38" s="27" t="s">
        <v>198</v>
      </c>
      <c r="M38" s="27" t="s">
        <v>194</v>
      </c>
      <c r="N38" s="27" t="s">
        <v>29</v>
      </c>
      <c r="O38" s="5">
        <v>26751017.059999999</v>
      </c>
      <c r="P38" s="5">
        <v>54354258.050000012</v>
      </c>
      <c r="Q38" s="5">
        <v>94008405.940000013</v>
      </c>
      <c r="R38" s="5">
        <v>103447557.15000001</v>
      </c>
      <c r="S38" s="5">
        <v>74110009.12000002</v>
      </c>
      <c r="T38" s="5">
        <v>134349725.49000001</v>
      </c>
      <c r="U38" s="5">
        <v>65855565.310000002</v>
      </c>
      <c r="V38" s="5">
        <v>116708131.87</v>
      </c>
      <c r="W38" s="5">
        <v>19812749.850000001</v>
      </c>
      <c r="X38" s="69">
        <v>67000000</v>
      </c>
      <c r="Y38" s="69">
        <v>67000000</v>
      </c>
      <c r="Z38" s="69">
        <v>67000000</v>
      </c>
      <c r="AA38" s="4">
        <f si="9" t="shared"/>
        <v>890397419.84000015</v>
      </c>
      <c r="AB38" s="41">
        <v>20000000</v>
      </c>
      <c r="AC38" s="41">
        <v>25000000</v>
      </c>
      <c r="AD38" s="41">
        <v>40000000</v>
      </c>
      <c r="AE38" s="41">
        <v>50000000</v>
      </c>
      <c r="AF38" s="41">
        <v>30000000</v>
      </c>
      <c r="AG38" s="41">
        <v>50000000</v>
      </c>
      <c r="AH38" s="41">
        <v>50000000</v>
      </c>
      <c r="AI38" s="41">
        <v>50000000</v>
      </c>
      <c r="AJ38" s="41">
        <v>70000000</v>
      </c>
      <c r="AK38" s="41">
        <v>70000000</v>
      </c>
      <c r="AL38" s="41">
        <v>70000000</v>
      </c>
      <c r="AM38" s="41">
        <v>70000000</v>
      </c>
      <c r="AN38" s="4">
        <f si="10" t="shared"/>
        <v>595000000</v>
      </c>
      <c r="AO38" s="27"/>
      <c r="AP38" s="27"/>
      <c r="AQ38" s="42"/>
      <c r="AR38" s="42"/>
      <c r="AS38" s="42"/>
      <c r="AT38" s="42"/>
      <c r="AU38" s="27"/>
      <c r="AV38" s="27"/>
      <c r="AW38" s="13" t="s">
        <v>267</v>
      </c>
      <c r="AX38" s="41">
        <v>56000000</v>
      </c>
      <c r="AY38" s="41">
        <v>25000000</v>
      </c>
      <c r="AZ38" s="41">
        <v>25000000</v>
      </c>
      <c r="BA38" s="63">
        <f si="6" t="shared"/>
        <v>11000000</v>
      </c>
      <c r="BB38" s="63">
        <f si="7" t="shared"/>
        <v>42000000</v>
      </c>
      <c r="BC38" s="63">
        <f si="8" t="shared"/>
        <v>42000000</v>
      </c>
    </row>
    <row r="39" spans="1:55" x14ac:dyDescent="0.2">
      <c r="A39" s="63" t="str">
        <f si="5" t="shared"/>
        <v>СКБСЖРозницаWMЛайфСКБЖНСЖ_СИВСтабильный курсРегулярнаяНовый</v>
      </c>
      <c r="B39" s="27" t="s">
        <v>4</v>
      </c>
      <c r="C39" s="1" t="str">
        <f>IFERROR(VLOOKUP(D39,Каналы!$B:$C,2,0),"")</f>
        <v>Розница</v>
      </c>
      <c r="D39" s="27" t="s">
        <v>6</v>
      </c>
      <c r="E39" s="1"/>
      <c r="F39" s="27"/>
      <c r="G39" s="27"/>
      <c r="H39" s="1" t="s">
        <v>1</v>
      </c>
      <c r="I39" s="27" t="s">
        <v>209</v>
      </c>
      <c r="J39" s="53"/>
      <c r="K39" s="27" t="s">
        <v>246</v>
      </c>
      <c r="L39" s="27" t="s">
        <v>198</v>
      </c>
      <c r="M39" s="27" t="s">
        <v>193</v>
      </c>
      <c r="N39" s="27" t="s">
        <v>29</v>
      </c>
      <c r="O39" s="5">
        <v>431915.26</v>
      </c>
      <c r="P39" s="5">
        <v>1969383.93</v>
      </c>
      <c r="Q39" s="5"/>
      <c r="R39" s="5">
        <v>665749.28999999992</v>
      </c>
      <c r="S39" s="5">
        <v>486687.65</v>
      </c>
      <c r="T39" s="5">
        <v>175422.25</v>
      </c>
      <c r="U39" s="5">
        <v>407935.73000000004</v>
      </c>
      <c r="V39" s="5">
        <v>49748.26</v>
      </c>
      <c r="W39" s="5"/>
      <c r="X39" s="69"/>
      <c r="Y39" s="69"/>
      <c r="Z39" s="69"/>
      <c r="AA39" s="4">
        <f si="9" t="shared"/>
        <v>4186842.3699999996</v>
      </c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">
        <f si="10" t="shared"/>
        <v>0</v>
      </c>
      <c r="AO39" s="27"/>
      <c r="AP39" s="27"/>
      <c r="AQ39" s="42"/>
      <c r="AR39" s="42"/>
      <c r="AS39" s="42"/>
      <c r="AT39" s="42"/>
      <c r="AU39" s="27"/>
      <c r="AV39" s="27"/>
      <c r="AW39" s="13">
        <v>0</v>
      </c>
      <c r="AX39" s="41"/>
      <c r="AY39" s="41"/>
      <c r="AZ39" s="41"/>
      <c r="BA39" s="63">
        <f si="6" t="shared"/>
        <v>0</v>
      </c>
      <c r="BB39" s="63">
        <f si="7" t="shared"/>
        <v>0</v>
      </c>
      <c r="BC39" s="63">
        <f si="8" t="shared"/>
        <v>0</v>
      </c>
    </row>
    <row r="40" spans="1:55" x14ac:dyDescent="0.2">
      <c r="A40" s="63" t="str">
        <f si="5" t="shared"/>
        <v>СКБСЖРозницаWMЛайфСКБЖНСЖ_СИВСтабильный курсРегулярнаяПролонгация</v>
      </c>
      <c r="B40" s="27" t="s">
        <v>4</v>
      </c>
      <c r="C40" s="1" t="str">
        <f>IFERROR(VLOOKUP(D40,Каналы!$B:$C,2,0),"")</f>
        <v>Розница</v>
      </c>
      <c r="D40" s="27" t="s">
        <v>6</v>
      </c>
      <c r="E40" s="1"/>
      <c r="F40" s="27"/>
      <c r="G40" s="27"/>
      <c r="H40" s="1" t="s">
        <v>1</v>
      </c>
      <c r="I40" s="27" t="s">
        <v>209</v>
      </c>
      <c r="J40" s="53"/>
      <c r="K40" s="27" t="s">
        <v>246</v>
      </c>
      <c r="L40" s="27" t="s">
        <v>198</v>
      </c>
      <c r="M40" s="27" t="s">
        <v>193</v>
      </c>
      <c r="N40" s="27" t="s">
        <v>48</v>
      </c>
      <c r="O40" s="5"/>
      <c r="P40" s="5">
        <v>1636296.94</v>
      </c>
      <c r="Q40" s="5">
        <v>1276658.33</v>
      </c>
      <c r="R40" s="5">
        <v>710630.34</v>
      </c>
      <c r="S40" s="5">
        <v>1989930.24</v>
      </c>
      <c r="T40" s="5">
        <v>1801710.6999999997</v>
      </c>
      <c r="U40" s="5">
        <v>2818489.9999999991</v>
      </c>
      <c r="V40" s="5">
        <v>3919556.7299999977</v>
      </c>
      <c r="W40" s="5">
        <v>3441442.8099999996</v>
      </c>
      <c r="X40" s="69">
        <v>79714940.157021701</v>
      </c>
      <c r="Y40" s="69">
        <v>73347001.357442558</v>
      </c>
      <c r="Z40" s="69">
        <v>167058237.87011611</v>
      </c>
      <c r="AA40" s="4">
        <f si="9" t="shared"/>
        <v>337714895.47458035</v>
      </c>
      <c r="AB40" s="41">
        <f>O40*0.5</f>
        <v>0</v>
      </c>
      <c r="AC40" s="41">
        <f ref="AC40:AM40" si="16" t="shared">P40*0.5</f>
        <v>818148.47</v>
      </c>
      <c r="AD40" s="41">
        <f si="16" t="shared"/>
        <v>638329.16500000004</v>
      </c>
      <c r="AE40" s="41">
        <f si="16" t="shared"/>
        <v>355315.17</v>
      </c>
      <c r="AF40" s="41">
        <f si="16" t="shared"/>
        <v>994965.12</v>
      </c>
      <c r="AG40" s="41">
        <f si="16" t="shared"/>
        <v>900855.34999999986</v>
      </c>
      <c r="AH40" s="41">
        <f si="16" t="shared"/>
        <v>1409244.9999999995</v>
      </c>
      <c r="AI40" s="41">
        <f si="16" t="shared"/>
        <v>1959778.3649999988</v>
      </c>
      <c r="AJ40" s="41">
        <f si="16" t="shared"/>
        <v>1720721.4049999998</v>
      </c>
      <c r="AK40" s="41">
        <f si="16" t="shared"/>
        <v>39857470.078510851</v>
      </c>
      <c r="AL40" s="41">
        <f si="16" t="shared"/>
        <v>36673500.678721279</v>
      </c>
      <c r="AM40" s="41">
        <f si="16" t="shared"/>
        <v>83529118.935058057</v>
      </c>
      <c r="AN40" s="4">
        <f si="10" t="shared"/>
        <v>168857447.73729017</v>
      </c>
      <c r="AO40" s="27"/>
      <c r="AP40" s="27"/>
      <c r="AQ40" s="42"/>
      <c r="AR40" s="42"/>
      <c r="AS40" s="42"/>
      <c r="AT40" s="42"/>
      <c r="AU40" s="27"/>
      <c r="AV40" s="27"/>
      <c r="AW40" s="13" t="s">
        <v>266</v>
      </c>
      <c r="AX40" s="41">
        <v>79714940.157021701</v>
      </c>
      <c r="AY40" s="41">
        <v>73347001.357442558</v>
      </c>
      <c r="AZ40" s="41">
        <v>167058237.87011611</v>
      </c>
      <c r="BA40" s="63">
        <f si="6" t="shared"/>
        <v>0</v>
      </c>
      <c r="BB40" s="63">
        <f si="7" t="shared"/>
        <v>0</v>
      </c>
      <c r="BC40" s="63">
        <f si="8" t="shared"/>
        <v>0</v>
      </c>
    </row>
    <row r="41" spans="1:55" x14ac:dyDescent="0.2">
      <c r="A41" s="63" t="str">
        <f si="5" t="shared"/>
        <v>СКБСЖРозницаWMЛайфСКБЖНСЖ_СИВСила процентаЕдиновременнаяНовый</v>
      </c>
      <c r="B41" s="27" t="s">
        <v>4</v>
      </c>
      <c r="C41" s="1" t="str">
        <f>IFERROR(VLOOKUP(D41,Каналы!$B:$C,2,0),"")</f>
        <v>Розница</v>
      </c>
      <c r="D41" s="65" t="s">
        <v>6</v>
      </c>
      <c r="E41" s="1"/>
      <c r="F41" s="27"/>
      <c r="G41" s="27"/>
      <c r="H41" s="1" t="s">
        <v>1</v>
      </c>
      <c r="I41" s="27" t="s">
        <v>209</v>
      </c>
      <c r="J41" s="53"/>
      <c r="K41" s="27" t="s">
        <v>246</v>
      </c>
      <c r="L41" s="27" t="s">
        <v>228</v>
      </c>
      <c r="M41" s="27" t="s">
        <v>194</v>
      </c>
      <c r="N41" s="27" t="s">
        <v>29</v>
      </c>
      <c r="O41" s="5"/>
      <c r="P41" s="5"/>
      <c r="Q41" s="5"/>
      <c r="R41" s="5"/>
      <c r="S41" s="5"/>
      <c r="T41" s="5"/>
      <c r="U41" s="5"/>
      <c r="V41" s="5">
        <v>36750208.189999998</v>
      </c>
      <c r="W41" s="5">
        <v>63622877.580000013</v>
      </c>
      <c r="X41" s="69">
        <v>629000000</v>
      </c>
      <c r="Y41" s="69">
        <v>350000000</v>
      </c>
      <c r="Z41" s="69">
        <v>350000000</v>
      </c>
      <c r="AA41" s="4">
        <f si="9" t="shared"/>
        <v>1429373085.77</v>
      </c>
      <c r="AB41" s="41">
        <v>50000000</v>
      </c>
      <c r="AC41" s="41">
        <v>50000000</v>
      </c>
      <c r="AD41" s="41">
        <v>150000000</v>
      </c>
      <c r="AE41" s="41">
        <v>150000000</v>
      </c>
      <c r="AF41" s="41">
        <v>100000000</v>
      </c>
      <c r="AG41" s="41">
        <v>250000000</v>
      </c>
      <c r="AH41" s="41">
        <v>250000000</v>
      </c>
      <c r="AI41" s="41">
        <v>250000000</v>
      </c>
      <c r="AJ41" s="41">
        <v>200000000</v>
      </c>
      <c r="AK41" s="41">
        <v>350000000</v>
      </c>
      <c r="AL41" s="41">
        <v>350000000</v>
      </c>
      <c r="AM41" s="41">
        <v>350000000</v>
      </c>
      <c r="AN41" s="4">
        <f si="10" t="shared"/>
        <v>2500000000</v>
      </c>
      <c r="AO41" s="27"/>
      <c r="AP41" s="27"/>
      <c r="AQ41" s="42"/>
      <c r="AR41" s="42"/>
      <c r="AS41" s="42"/>
      <c r="AT41" s="42"/>
      <c r="AU41" s="27"/>
      <c r="AV41" s="27"/>
      <c r="AW41" s="13" t="s">
        <v>266</v>
      </c>
      <c r="AX41" s="41">
        <v>629000000</v>
      </c>
      <c r="AY41" s="41">
        <v>350000000</v>
      </c>
      <c r="AZ41" s="41">
        <v>350000000</v>
      </c>
      <c r="BA41" s="63">
        <f si="6" t="shared"/>
        <v>0</v>
      </c>
      <c r="BB41" s="63">
        <f si="7" t="shared"/>
        <v>0</v>
      </c>
      <c r="BC41" s="63">
        <f si="8" t="shared"/>
        <v>0</v>
      </c>
    </row>
    <row r="42" spans="1:55" x14ac:dyDescent="0.2">
      <c r="A42" s="63" t="str">
        <f si="5" t="shared"/>
        <v>СКБСЖРозницаРозница (прочее)Нон-лайфСКБЖДМСДМСРегулярнаяНовый</v>
      </c>
      <c r="B42" s="27" t="s">
        <v>4</v>
      </c>
      <c r="C42" s="1" t="str">
        <f>IFERROR(VLOOKUP(D42,Каналы!$B:$C,2,0),"")</f>
        <v>Розница</v>
      </c>
      <c r="D42" s="27" t="s">
        <v>206</v>
      </c>
      <c r="E42" s="1"/>
      <c r="F42" s="27"/>
      <c r="G42" s="27"/>
      <c r="H42" s="1" t="s">
        <v>30</v>
      </c>
      <c r="I42" s="27" t="s">
        <v>209</v>
      </c>
      <c r="J42" s="53"/>
      <c r="K42" s="27" t="s">
        <v>31</v>
      </c>
      <c r="L42" s="27" t="s">
        <v>31</v>
      </c>
      <c r="M42" s="27" t="s">
        <v>193</v>
      </c>
      <c r="N42" s="27" t="s">
        <v>29</v>
      </c>
      <c r="O42" s="5"/>
      <c r="P42" s="5"/>
      <c r="Q42" s="5"/>
      <c r="R42" s="5"/>
      <c r="S42" s="5"/>
      <c r="T42" s="5"/>
      <c r="U42" s="5"/>
      <c r="V42" s="5"/>
      <c r="W42" s="5"/>
      <c r="X42" s="69"/>
      <c r="Y42" s="69">
        <v>24112000</v>
      </c>
      <c r="Z42" s="69"/>
      <c r="AA42" s="4">
        <f si="9" t="shared"/>
        <v>24112000</v>
      </c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">
        <f si="10" t="shared"/>
        <v>0</v>
      </c>
      <c r="AO42" s="27"/>
      <c r="AP42" s="27"/>
      <c r="AQ42" s="42"/>
      <c r="AR42" s="42"/>
      <c r="AS42" s="42"/>
      <c r="AT42" s="42"/>
      <c r="AU42" s="27"/>
      <c r="AV42" s="27"/>
      <c r="AW42" s="13" t="s">
        <v>266</v>
      </c>
      <c r="AX42" s="41"/>
      <c r="AY42" s="41">
        <v>24112000</v>
      </c>
      <c r="AZ42" s="41"/>
      <c r="BA42" s="63">
        <f si="6" t="shared"/>
        <v>0</v>
      </c>
      <c r="BB42" s="63">
        <f si="7" t="shared"/>
        <v>0</v>
      </c>
      <c r="BC42" s="63">
        <f si="8" t="shared"/>
        <v>0</v>
      </c>
    </row>
    <row r="43" spans="1:55" x14ac:dyDescent="0.2">
      <c r="A43" s="63" t="str">
        <f si="5" t="shared"/>
        <v>СКБСЖРозницаWMНон-лайфСКБЖДМС_СИВПрочее (СИВ)РегулярнаяПролонгация</v>
      </c>
      <c r="B43" s="27" t="s">
        <v>4</v>
      </c>
      <c r="C43" s="1" t="str">
        <f>IFERROR(VLOOKUP(D43,Каналы!$B:$C,2,0),"")</f>
        <v>Розница</v>
      </c>
      <c r="D43" s="65" t="s">
        <v>6</v>
      </c>
      <c r="E43" s="1"/>
      <c r="F43" s="27"/>
      <c r="G43" s="27"/>
      <c r="H43" s="1" t="s">
        <v>30</v>
      </c>
      <c r="I43" s="27" t="s">
        <v>209</v>
      </c>
      <c r="J43" s="53"/>
      <c r="K43" s="27" t="s">
        <v>249</v>
      </c>
      <c r="L43" s="27" t="s">
        <v>223</v>
      </c>
      <c r="M43" s="27" t="s">
        <v>193</v>
      </c>
      <c r="N43" s="27" t="s">
        <v>48</v>
      </c>
      <c r="O43" s="5">
        <v>86937.209999999992</v>
      </c>
      <c r="P43" s="5">
        <v>0</v>
      </c>
      <c r="Q43" s="5">
        <v>52231.56</v>
      </c>
      <c r="R43" s="5">
        <v>19451.63</v>
      </c>
      <c r="S43" s="5">
        <v>48014.149999999994</v>
      </c>
      <c r="T43" s="5">
        <v>112944.58000000002</v>
      </c>
      <c r="U43" s="5">
        <v>0</v>
      </c>
      <c r="V43" s="5">
        <v>38708.199999999997</v>
      </c>
      <c r="W43" s="5">
        <v>-2700.99</v>
      </c>
      <c r="X43" s="69"/>
      <c r="Y43" s="69"/>
      <c r="Z43" s="69"/>
      <c r="AA43" s="4">
        <f si="9" t="shared"/>
        <v>355586.34</v>
      </c>
      <c r="AB43" s="41">
        <f>O43*0.5</f>
        <v>43468.604999999996</v>
      </c>
      <c r="AC43" s="41">
        <f ref="AC43:AM43" si="17" t="shared">P43*0.5</f>
        <v>0</v>
      </c>
      <c r="AD43" s="41">
        <f si="17" t="shared"/>
        <v>26115.78</v>
      </c>
      <c r="AE43" s="41">
        <f si="17" t="shared"/>
        <v>9725.8150000000005</v>
      </c>
      <c r="AF43" s="41">
        <f si="17" t="shared"/>
        <v>24007.074999999997</v>
      </c>
      <c r="AG43" s="41">
        <f si="17" t="shared"/>
        <v>56472.290000000008</v>
      </c>
      <c r="AH43" s="41">
        <f si="17" t="shared"/>
        <v>0</v>
      </c>
      <c r="AI43" s="41">
        <f si="17" t="shared"/>
        <v>19354.099999999999</v>
      </c>
      <c r="AJ43" s="41">
        <f si="17" t="shared"/>
        <v>-1350.4949999999999</v>
      </c>
      <c r="AK43" s="41">
        <f si="17" t="shared"/>
        <v>0</v>
      </c>
      <c r="AL43" s="41">
        <f si="17" t="shared"/>
        <v>0</v>
      </c>
      <c r="AM43" s="41">
        <f si="17" t="shared"/>
        <v>0</v>
      </c>
      <c r="AN43" s="4">
        <f si="10" t="shared"/>
        <v>177793.17</v>
      </c>
      <c r="AO43" s="27"/>
      <c r="AP43" s="27"/>
      <c r="AQ43" s="42"/>
      <c r="AR43" s="42"/>
      <c r="AS43" s="42"/>
      <c r="AT43" s="42"/>
      <c r="AU43" s="27"/>
      <c r="AV43" s="27"/>
      <c r="AW43" s="13">
        <v>0</v>
      </c>
      <c r="AX43" s="41"/>
      <c r="AY43" s="41"/>
      <c r="AZ43" s="41"/>
      <c r="BA43" s="63">
        <f si="6" t="shared"/>
        <v>0</v>
      </c>
      <c r="BB43" s="63">
        <f si="7" t="shared"/>
        <v>0</v>
      </c>
      <c r="BC43" s="63">
        <f si="8" t="shared"/>
        <v>0</v>
      </c>
    </row>
    <row r="44" spans="1:55" x14ac:dyDescent="0.2">
      <c r="A44" s="63" t="str">
        <f si="5" t="shared"/>
        <v>СКБСЖРозницаРозница (прочее)Нон-лайфСКБЖКСЖКСЖЕдиновременнаяНовый</v>
      </c>
      <c r="B44" s="27" t="s">
        <v>4</v>
      </c>
      <c r="C44" s="1" t="str">
        <f>IFERROR(VLOOKUP(D44,Каналы!$B:$C,2,0),"")</f>
        <v>Розница</v>
      </c>
      <c r="D44" s="27" t="s">
        <v>206</v>
      </c>
      <c r="E44" s="1"/>
      <c r="F44" s="27"/>
      <c r="G44" s="27"/>
      <c r="H44" s="1" t="s">
        <v>30</v>
      </c>
      <c r="I44" s="27" t="s">
        <v>209</v>
      </c>
      <c r="J44" s="53"/>
      <c r="K44" s="27" t="s">
        <v>32</v>
      </c>
      <c r="L44" s="27" t="s">
        <v>32</v>
      </c>
      <c r="M44" s="27" t="s">
        <v>194</v>
      </c>
      <c r="N44" s="27" t="s">
        <v>29</v>
      </c>
      <c r="O44" s="5">
        <v>6994506.4199999999</v>
      </c>
      <c r="P44" s="5">
        <v>6031821.9399999995</v>
      </c>
      <c r="Q44" s="5">
        <v>7127830</v>
      </c>
      <c r="R44" s="5">
        <v>8688472.879999999</v>
      </c>
      <c r="S44" s="5">
        <v>9601411.8300000019</v>
      </c>
      <c r="T44" s="5">
        <v>7724261.4899999993</v>
      </c>
      <c r="U44" s="5">
        <v>5209832.8100000005</v>
      </c>
      <c r="V44" s="5">
        <v>6790333.6100000003</v>
      </c>
      <c r="W44" s="5">
        <v>5058978.2300000004</v>
      </c>
      <c r="X44" s="69">
        <v>5300000</v>
      </c>
      <c r="Y44" s="69">
        <v>6800000</v>
      </c>
      <c r="Z44" s="69">
        <v>5100000</v>
      </c>
      <c r="AA44" s="4">
        <f si="9" t="shared"/>
        <v>80427449.210000008</v>
      </c>
      <c r="AB44" s="41">
        <v>5000000</v>
      </c>
      <c r="AC44" s="41">
        <v>5000000</v>
      </c>
      <c r="AD44" s="41">
        <v>5000000</v>
      </c>
      <c r="AE44" s="41">
        <v>5000000</v>
      </c>
      <c r="AF44" s="41">
        <v>5000000</v>
      </c>
      <c r="AG44" s="41">
        <v>5000000</v>
      </c>
      <c r="AH44" s="41">
        <v>5000000</v>
      </c>
      <c r="AI44" s="41">
        <v>5000000</v>
      </c>
      <c r="AJ44" s="41">
        <v>5000000</v>
      </c>
      <c r="AK44" s="41">
        <v>5000000</v>
      </c>
      <c r="AL44" s="41">
        <v>5000000</v>
      </c>
      <c r="AM44" s="41">
        <v>5000000</v>
      </c>
      <c r="AN44" s="4">
        <f si="10" t="shared"/>
        <v>60000000</v>
      </c>
      <c r="AO44" s="27"/>
      <c r="AP44" s="27"/>
      <c r="AQ44" s="42"/>
      <c r="AR44" s="42"/>
      <c r="AS44" s="42"/>
      <c r="AT44" s="42"/>
      <c r="AU44" s="27"/>
      <c r="AV44" s="27"/>
      <c r="AW44" s="13" t="s">
        <v>267</v>
      </c>
      <c r="AX44" s="41">
        <v>2500000</v>
      </c>
      <c r="AY44" s="41">
        <v>2500000</v>
      </c>
      <c r="AZ44" s="41">
        <v>2500000</v>
      </c>
      <c r="BA44" s="63">
        <f si="6" t="shared"/>
        <v>2800000</v>
      </c>
      <c r="BB44" s="63">
        <f si="7" t="shared"/>
        <v>4300000</v>
      </c>
      <c r="BC44" s="63">
        <f si="8" t="shared"/>
        <v>2600000</v>
      </c>
    </row>
    <row r="45" spans="1:55" x14ac:dyDescent="0.2">
      <c r="A45" s="63" t="str">
        <f si="5" t="shared"/>
        <v>СКБСЖРозницаРозница (прочее)Нон-лайфСКБЖКСЖКСЖРегулярнаяНовый</v>
      </c>
      <c r="B45" s="27" t="s">
        <v>4</v>
      </c>
      <c r="C45" s="1" t="str">
        <f>IFERROR(VLOOKUP(D45,Каналы!$B:$C,2,0),"")</f>
        <v>Розница</v>
      </c>
      <c r="D45" s="27" t="s">
        <v>206</v>
      </c>
      <c r="E45" s="1"/>
      <c r="F45" s="27"/>
      <c r="G45" s="27"/>
      <c r="H45" s="1" t="s">
        <v>30</v>
      </c>
      <c r="I45" s="27" t="s">
        <v>209</v>
      </c>
      <c r="J45" s="53"/>
      <c r="K45" s="27" t="s">
        <v>32</v>
      </c>
      <c r="L45" s="27" t="s">
        <v>32</v>
      </c>
      <c r="M45" s="27" t="s">
        <v>193</v>
      </c>
      <c r="N45" s="27" t="s">
        <v>29</v>
      </c>
      <c r="O45" s="5">
        <v>68.529999999999987</v>
      </c>
      <c r="P45" s="5">
        <v>108.78999999999999</v>
      </c>
      <c r="Q45" s="5">
        <v>70</v>
      </c>
      <c r="R45" s="5">
        <v>91.179999999999993</v>
      </c>
      <c r="S45" s="5">
        <v>89.759999999999991</v>
      </c>
      <c r="T45" s="5">
        <v>37.36</v>
      </c>
      <c r="U45" s="5">
        <v>63.19</v>
      </c>
      <c r="V45" s="5">
        <v>21.41</v>
      </c>
      <c r="W45" s="5">
        <v>13.440000000000001</v>
      </c>
      <c r="X45" s="69"/>
      <c r="Y45" s="69"/>
      <c r="Z45" s="69"/>
      <c r="AA45" s="4">
        <f si="9" t="shared"/>
        <v>563.66</v>
      </c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">
        <f si="10" t="shared"/>
        <v>0</v>
      </c>
      <c r="AO45" s="27"/>
      <c r="AP45" s="27"/>
      <c r="AQ45" s="42"/>
      <c r="AR45" s="42"/>
      <c r="AS45" s="42"/>
      <c r="AT45" s="42"/>
      <c r="AU45" s="27"/>
      <c r="AV45" s="27"/>
      <c r="AW45" s="13">
        <v>0</v>
      </c>
      <c r="AX45" s="41"/>
      <c r="AY45" s="41"/>
      <c r="AZ45" s="41"/>
      <c r="BA45" s="63">
        <f si="6" t="shared"/>
        <v>0</v>
      </c>
      <c r="BB45" s="63">
        <f si="7" t="shared"/>
        <v>0</v>
      </c>
      <c r="BC45" s="63">
        <f si="8" t="shared"/>
        <v>0</v>
      </c>
    </row>
    <row r="46" spans="1:55" x14ac:dyDescent="0.2">
      <c r="A46" s="63" t="str">
        <f si="5" t="shared"/>
        <v>СКБСЖРозницаРозница (прочее)Нон-лайфСКБЖКСЖКСЖРегулярнаяПролонгация</v>
      </c>
      <c r="B46" s="27" t="s">
        <v>4</v>
      </c>
      <c r="C46" s="1" t="str">
        <f>IFERROR(VLOOKUP(D46,Каналы!$B:$C,2,0),"")</f>
        <v>Розница</v>
      </c>
      <c r="D46" s="27" t="s">
        <v>206</v>
      </c>
      <c r="E46" s="1"/>
      <c r="F46" s="27"/>
      <c r="G46" s="27"/>
      <c r="H46" s="1" t="s">
        <v>30</v>
      </c>
      <c r="I46" s="27" t="s">
        <v>209</v>
      </c>
      <c r="J46" s="53"/>
      <c r="K46" s="27" t="s">
        <v>32</v>
      </c>
      <c r="L46" s="27" t="s">
        <v>32</v>
      </c>
      <c r="M46" s="27" t="s">
        <v>193</v>
      </c>
      <c r="N46" s="27" t="s">
        <v>48</v>
      </c>
      <c r="O46" s="5">
        <v>28937.750000000437</v>
      </c>
      <c r="P46" s="5">
        <v>25307.520000000313</v>
      </c>
      <c r="Q46" s="5">
        <v>25190</v>
      </c>
      <c r="R46" s="5">
        <v>24821.58</v>
      </c>
      <c r="S46" s="5">
        <v>23877.66</v>
      </c>
      <c r="T46" s="5">
        <v>23271.49</v>
      </c>
      <c r="U46" s="5">
        <v>22613.64</v>
      </c>
      <c r="V46" s="5">
        <v>22774.85</v>
      </c>
      <c r="W46" s="5">
        <v>21838.7</v>
      </c>
      <c r="X46" s="69">
        <v>23000</v>
      </c>
      <c r="Y46" s="69">
        <v>23000</v>
      </c>
      <c r="Z46" s="69">
        <v>22000</v>
      </c>
      <c r="AA46" s="4">
        <f si="9" t="shared"/>
        <v>286633.19000000076</v>
      </c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">
        <f si="10" t="shared"/>
        <v>0</v>
      </c>
      <c r="AO46" s="27"/>
      <c r="AP46" s="27"/>
      <c r="AQ46" s="42"/>
      <c r="AR46" s="42"/>
      <c r="AS46" s="42"/>
      <c r="AT46" s="42"/>
      <c r="AU46" s="27"/>
      <c r="AV46" s="27"/>
      <c r="AW46" s="13" t="s">
        <v>267</v>
      </c>
      <c r="AX46" s="41">
        <v>9900</v>
      </c>
      <c r="AY46" s="41">
        <v>9900</v>
      </c>
      <c r="AZ46" s="41">
        <v>9900</v>
      </c>
      <c r="BA46" s="63">
        <f si="6" t="shared"/>
        <v>13100</v>
      </c>
      <c r="BB46" s="63">
        <f si="7" t="shared"/>
        <v>13100</v>
      </c>
      <c r="BC46" s="63">
        <f si="8" t="shared"/>
        <v>12100</v>
      </c>
    </row>
    <row r="47" spans="1:55" x14ac:dyDescent="0.2">
      <c r="A47" s="63" t="str">
        <f si="5" t="shared"/>
        <v>СКБСЖРозницаWMНон-лайфСКБЖКСЖ_СИВПрочее (СИВ)РегулярнаяНовый</v>
      </c>
      <c r="B47" s="27" t="s">
        <v>4</v>
      </c>
      <c r="C47" s="1" t="str">
        <f>IFERROR(VLOOKUP(D47,Каналы!$B:$C,2,0),"")</f>
        <v>Розница</v>
      </c>
      <c r="D47" s="65" t="s">
        <v>6</v>
      </c>
      <c r="E47" s="1"/>
      <c r="F47" s="27"/>
      <c r="G47" s="27"/>
      <c r="H47" s="1" t="s">
        <v>30</v>
      </c>
      <c r="I47" s="27" t="s">
        <v>209</v>
      </c>
      <c r="J47" s="53"/>
      <c r="K47" s="27" t="s">
        <v>250</v>
      </c>
      <c r="L47" s="27" t="s">
        <v>223</v>
      </c>
      <c r="M47" s="27" t="s">
        <v>193</v>
      </c>
      <c r="N47" s="27" t="s">
        <v>29</v>
      </c>
      <c r="O47" s="5"/>
      <c r="P47" s="5"/>
      <c r="Q47" s="5"/>
      <c r="R47" s="5">
        <v>0</v>
      </c>
      <c r="S47" s="5"/>
      <c r="T47" s="5">
        <v>0</v>
      </c>
      <c r="U47" s="5"/>
      <c r="V47" s="5"/>
      <c r="W47" s="5"/>
      <c r="X47" s="69"/>
      <c r="Y47" s="69"/>
      <c r="Z47" s="69"/>
      <c r="AA47" s="4">
        <f si="9" t="shared"/>
        <v>0</v>
      </c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">
        <f si="10" t="shared"/>
        <v>0</v>
      </c>
      <c r="AO47" s="27"/>
      <c r="AP47" s="27"/>
      <c r="AQ47" s="42"/>
      <c r="AR47" s="42"/>
      <c r="AS47" s="42"/>
      <c r="AT47" s="42"/>
      <c r="AU47" s="27"/>
      <c r="AV47" s="27"/>
      <c r="AW47" s="13">
        <v>0</v>
      </c>
      <c r="AX47" s="41"/>
      <c r="AY47" s="41"/>
      <c r="AZ47" s="41"/>
      <c r="BA47" s="63">
        <f si="6" t="shared"/>
        <v>0</v>
      </c>
      <c r="BB47" s="63">
        <f si="7" t="shared"/>
        <v>0</v>
      </c>
      <c r="BC47" s="63">
        <f si="8" t="shared"/>
        <v>0</v>
      </c>
    </row>
    <row r="48" spans="1:55" x14ac:dyDescent="0.2">
      <c r="A48" s="63" t="str">
        <f si="5" t="shared"/>
        <v>СКБСЖРозницаWMНон-лайфСКБЖКСЖ_СИВПрочее (СИВ)РегулярнаяПролонгация</v>
      </c>
      <c r="B48" s="27" t="s">
        <v>4</v>
      </c>
      <c r="C48" s="1" t="str">
        <f>IFERROR(VLOOKUP(D48,Каналы!$B:$C,2,0),"")</f>
        <v>Розница</v>
      </c>
      <c r="D48" s="65" t="s">
        <v>6</v>
      </c>
      <c r="E48" s="1"/>
      <c r="F48" s="27"/>
      <c r="G48" s="27"/>
      <c r="H48" s="1" t="s">
        <v>30</v>
      </c>
      <c r="I48" s="27" t="s">
        <v>209</v>
      </c>
      <c r="J48" s="53"/>
      <c r="K48" s="27" t="s">
        <v>250</v>
      </c>
      <c r="L48" s="27" t="s">
        <v>223</v>
      </c>
      <c r="M48" s="27" t="s">
        <v>193</v>
      </c>
      <c r="N48" s="27" t="s">
        <v>48</v>
      </c>
      <c r="O48" s="5">
        <v>462576.39999999997</v>
      </c>
      <c r="P48" s="5">
        <v>413099.11999999982</v>
      </c>
      <c r="Q48" s="5">
        <v>402065.42999999988</v>
      </c>
      <c r="R48" s="5">
        <v>-430844.41000000038</v>
      </c>
      <c r="S48" s="5">
        <v>-9312.31</v>
      </c>
      <c r="T48" s="5"/>
      <c r="U48" s="5"/>
      <c r="V48" s="5"/>
      <c r="W48" s="5"/>
      <c r="X48" s="69"/>
      <c r="Y48" s="69"/>
      <c r="Z48" s="69"/>
      <c r="AA48" s="4">
        <f si="9" t="shared"/>
        <v>837584.22999999928</v>
      </c>
      <c r="AB48" s="41">
        <f>O48*0.5</f>
        <v>231288.19999999998</v>
      </c>
      <c r="AC48" s="41">
        <f ref="AC48:AM48" si="18" t="shared">P48*0.5</f>
        <v>206549.55999999991</v>
      </c>
      <c r="AD48" s="41">
        <f si="18" t="shared"/>
        <v>201032.71499999994</v>
      </c>
      <c r="AE48" s="41">
        <f si="18" t="shared"/>
        <v>-215422.20500000019</v>
      </c>
      <c r="AF48" s="41">
        <f si="18" t="shared"/>
        <v>-4656.1549999999997</v>
      </c>
      <c r="AG48" s="41">
        <f si="18" t="shared"/>
        <v>0</v>
      </c>
      <c r="AH48" s="41">
        <f si="18" t="shared"/>
        <v>0</v>
      </c>
      <c r="AI48" s="41">
        <f si="18" t="shared"/>
        <v>0</v>
      </c>
      <c r="AJ48" s="41">
        <f si="18" t="shared"/>
        <v>0</v>
      </c>
      <c r="AK48" s="41">
        <f si="18" t="shared"/>
        <v>0</v>
      </c>
      <c r="AL48" s="41">
        <f si="18" t="shared"/>
        <v>0</v>
      </c>
      <c r="AM48" s="41">
        <f si="18" t="shared"/>
        <v>0</v>
      </c>
      <c r="AN48" s="4">
        <f si="10" t="shared"/>
        <v>418792.11499999964</v>
      </c>
      <c r="AO48" s="27"/>
      <c r="AP48" s="27"/>
      <c r="AQ48" s="42"/>
      <c r="AR48" s="42"/>
      <c r="AS48" s="42"/>
      <c r="AT48" s="42"/>
      <c r="AU48" s="27"/>
      <c r="AV48" s="27"/>
      <c r="AW48" s="13">
        <v>0</v>
      </c>
      <c r="AX48" s="41"/>
      <c r="AY48" s="41"/>
      <c r="AZ48" s="41"/>
      <c r="BA48" s="63">
        <f si="6" t="shared"/>
        <v>0</v>
      </c>
      <c r="BB48" s="63">
        <f si="7" t="shared"/>
        <v>0</v>
      </c>
      <c r="BC48" s="63">
        <f si="8" t="shared"/>
        <v>0</v>
      </c>
    </row>
    <row r="49" spans="1:55" x14ac:dyDescent="0.2">
      <c r="A49" s="63" t="str">
        <f si="5" t="shared"/>
        <v>СКБСЖРозницаРозница (прочее)Нон-лайфСКБЖНСНСРегулярнаяНовый</v>
      </c>
      <c r="B49" s="27" t="s">
        <v>4</v>
      </c>
      <c r="C49" s="1" t="str">
        <f>IFERROR(VLOOKUP(D49,Каналы!$B:$C,2,0),"")</f>
        <v>Розница</v>
      </c>
      <c r="D49" s="27" t="s">
        <v>206</v>
      </c>
      <c r="E49" s="1"/>
      <c r="F49" s="27"/>
      <c r="G49" s="27"/>
      <c r="H49" s="1" t="s">
        <v>30</v>
      </c>
      <c r="I49" s="27" t="s">
        <v>209</v>
      </c>
      <c r="J49" s="53"/>
      <c r="K49" s="27" t="s">
        <v>33</v>
      </c>
      <c r="L49" s="27" t="s">
        <v>33</v>
      </c>
      <c r="M49" s="27" t="s">
        <v>193</v>
      </c>
      <c r="N49" s="27" t="s">
        <v>29</v>
      </c>
      <c r="O49" s="5"/>
      <c r="P49" s="5"/>
      <c r="Q49" s="5"/>
      <c r="R49" s="5"/>
      <c r="S49" s="5"/>
      <c r="T49" s="5"/>
      <c r="U49" s="5"/>
      <c r="V49" s="5"/>
      <c r="W49" s="5"/>
      <c r="X49" s="69"/>
      <c r="Y49" s="69"/>
      <c r="Z49" s="69"/>
      <c r="AA49" s="4">
        <f si="9" t="shared"/>
        <v>0</v>
      </c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">
        <f si="10" t="shared"/>
        <v>0</v>
      </c>
      <c r="AO49" s="27"/>
      <c r="AP49" s="27"/>
      <c r="AQ49" s="42"/>
      <c r="AR49" s="42"/>
      <c r="AS49" s="42"/>
      <c r="AT49" s="42"/>
      <c r="AU49" s="27"/>
      <c r="AV49" s="27"/>
      <c r="AW49" s="13">
        <v>0</v>
      </c>
      <c r="AX49" s="41"/>
      <c r="AY49" s="41"/>
      <c r="AZ49" s="41"/>
      <c r="BA49" s="63">
        <f si="6" t="shared"/>
        <v>0</v>
      </c>
      <c r="BB49" s="63">
        <f si="7" t="shared"/>
        <v>0</v>
      </c>
      <c r="BC49" s="63">
        <f si="8" t="shared"/>
        <v>0</v>
      </c>
    </row>
    <row r="50" spans="1:55" x14ac:dyDescent="0.2">
      <c r="A50" s="63" t="str">
        <f si="5" t="shared"/>
        <v>СКБСЖРозницаWMНон-лайфСКБЖНС_СИВПрочее (СИВ)РегулярнаяПролонгация</v>
      </c>
      <c r="B50" s="27" t="s">
        <v>4</v>
      </c>
      <c r="C50" s="1" t="str">
        <f>IFERROR(VLOOKUP(D50,Каналы!$B:$C,2,0),"")</f>
        <v>Розница</v>
      </c>
      <c r="D50" s="65" t="s">
        <v>6</v>
      </c>
      <c r="E50" s="1"/>
      <c r="F50" s="27"/>
      <c r="G50" s="27"/>
      <c r="H50" s="1" t="s">
        <v>30</v>
      </c>
      <c r="I50" s="27" t="s">
        <v>209</v>
      </c>
      <c r="J50" s="53"/>
      <c r="K50" s="27" t="s">
        <v>251</v>
      </c>
      <c r="L50" s="27" t="s">
        <v>223</v>
      </c>
      <c r="M50" s="27" t="s">
        <v>193</v>
      </c>
      <c r="N50" s="27" t="s">
        <v>48</v>
      </c>
      <c r="O50" s="5">
        <v>194550</v>
      </c>
      <c r="P50" s="5">
        <v>100440</v>
      </c>
      <c r="Q50" s="5">
        <v>153780</v>
      </c>
      <c r="R50" s="5">
        <v>98370</v>
      </c>
      <c r="S50" s="5">
        <v>129930</v>
      </c>
      <c r="T50" s="5">
        <v>-28500</v>
      </c>
      <c r="U50" s="5">
        <v>337050</v>
      </c>
      <c r="V50" s="5">
        <v>146520</v>
      </c>
      <c r="W50" s="5">
        <v>117720</v>
      </c>
      <c r="X50" s="69">
        <v>340000</v>
      </c>
      <c r="Y50" s="69">
        <v>150000</v>
      </c>
      <c r="Z50" s="69">
        <v>120000</v>
      </c>
      <c r="AA50" s="4">
        <f si="9" t="shared"/>
        <v>1859860</v>
      </c>
      <c r="AB50" s="41">
        <f>O50*0.5</f>
        <v>97275</v>
      </c>
      <c r="AC50" s="41">
        <f ref="AC50:AM50" si="19" t="shared">P50*0.5</f>
        <v>50220</v>
      </c>
      <c r="AD50" s="41">
        <f si="19" t="shared"/>
        <v>76890</v>
      </c>
      <c r="AE50" s="41">
        <f si="19" t="shared"/>
        <v>49185</v>
      </c>
      <c r="AF50" s="41">
        <f si="19" t="shared"/>
        <v>64965</v>
      </c>
      <c r="AG50" s="41">
        <f si="19" t="shared"/>
        <v>-14250</v>
      </c>
      <c r="AH50" s="41">
        <f si="19" t="shared"/>
        <v>168525</v>
      </c>
      <c r="AI50" s="41">
        <f si="19" t="shared"/>
        <v>73260</v>
      </c>
      <c r="AJ50" s="41">
        <f si="19" t="shared"/>
        <v>58860</v>
      </c>
      <c r="AK50" s="41">
        <f si="19" t="shared"/>
        <v>170000</v>
      </c>
      <c r="AL50" s="41">
        <f si="19" t="shared"/>
        <v>75000</v>
      </c>
      <c r="AM50" s="41">
        <f si="19" t="shared"/>
        <v>60000</v>
      </c>
      <c r="AN50" s="4">
        <f si="10" t="shared"/>
        <v>929930</v>
      </c>
      <c r="AO50" s="27"/>
      <c r="AP50" s="27"/>
      <c r="AQ50" s="42"/>
      <c r="AR50" s="42"/>
      <c r="AS50" s="42"/>
      <c r="AT50" s="42"/>
      <c r="AU50" s="27"/>
      <c r="AV50" s="27"/>
      <c r="AW50" s="13" t="s">
        <v>267</v>
      </c>
      <c r="AX50" s="41"/>
      <c r="AY50" s="41"/>
      <c r="AZ50" s="41"/>
      <c r="BA50" s="63">
        <f si="6" t="shared"/>
        <v>340000</v>
      </c>
      <c r="BB50" s="63">
        <f si="7" t="shared"/>
        <v>150000</v>
      </c>
      <c r="BC50" s="63">
        <f si="8" t="shared"/>
        <v>120000</v>
      </c>
    </row>
    <row r="51" spans="1:55" x14ac:dyDescent="0.2">
      <c r="A51" s="63" t="str">
        <f si="5" t="shared"/>
        <v>СКБСЖРозницаWMНон-лайфСКБЖНСЖ_СИВ_ДМСCiti HealthЕдиновременнаяНовый</v>
      </c>
      <c r="B51" s="27" t="s">
        <v>4</v>
      </c>
      <c r="C51" s="1" t="str">
        <f>IFERROR(VLOOKUP(D51,Каналы!$B:$C,2,0),"")</f>
        <v>Розница</v>
      </c>
      <c r="D51" s="65" t="s">
        <v>6</v>
      </c>
      <c r="E51" s="1"/>
      <c r="F51" s="27"/>
      <c r="G51" s="27"/>
      <c r="H51" s="1" t="s">
        <v>30</v>
      </c>
      <c r="I51" s="27" t="s">
        <v>209</v>
      </c>
      <c r="J51" s="53"/>
      <c r="K51" s="27" t="s">
        <v>252</v>
      </c>
      <c r="L51" s="27" t="s">
        <v>225</v>
      </c>
      <c r="M51" s="27" t="s">
        <v>194</v>
      </c>
      <c r="N51" s="27" t="s">
        <v>29</v>
      </c>
      <c r="O51" s="5">
        <v>0</v>
      </c>
      <c r="P51" s="5"/>
      <c r="Q51" s="5"/>
      <c r="R51" s="5"/>
      <c r="S51" s="5"/>
      <c r="T51" s="5"/>
      <c r="U51" s="5"/>
      <c r="V51" s="5"/>
      <c r="W51" s="5">
        <v>0</v>
      </c>
      <c r="X51" s="69"/>
      <c r="Y51" s="69"/>
      <c r="Z51" s="69"/>
      <c r="AA51" s="4">
        <f si="9" t="shared"/>
        <v>0</v>
      </c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">
        <f si="10" t="shared"/>
        <v>0</v>
      </c>
      <c r="AO51" s="27"/>
      <c r="AP51" s="27"/>
      <c r="AQ51" s="42"/>
      <c r="AR51" s="42"/>
      <c r="AS51" s="42"/>
      <c r="AT51" s="42"/>
      <c r="AU51" s="27"/>
      <c r="AV51" s="27"/>
      <c r="AW51" s="13">
        <v>0</v>
      </c>
      <c r="AX51" s="41"/>
      <c r="AY51" s="41"/>
      <c r="AZ51" s="41"/>
      <c r="BA51" s="63">
        <f si="6" t="shared"/>
        <v>0</v>
      </c>
      <c r="BB51" s="63">
        <f si="7" t="shared"/>
        <v>0</v>
      </c>
      <c r="BC51" s="63">
        <f si="8" t="shared"/>
        <v>0</v>
      </c>
    </row>
    <row r="52" spans="1:55" x14ac:dyDescent="0.2">
      <c r="A52" s="63" t="str">
        <f si="5" t="shared"/>
        <v>СКБСЖРозницаWMНон-лайфСКБЖНСЖ_СИВ_ДМСCiti HealthРегулярнаяПролонгация</v>
      </c>
      <c r="B52" s="27" t="s">
        <v>4</v>
      </c>
      <c r="C52" s="1" t="str">
        <f>IFERROR(VLOOKUP(D52,Каналы!$B:$C,2,0),"")</f>
        <v>Розница</v>
      </c>
      <c r="D52" s="65" t="s">
        <v>6</v>
      </c>
      <c r="E52" s="1"/>
      <c r="F52" s="27"/>
      <c r="G52" s="27"/>
      <c r="H52" s="1" t="s">
        <v>30</v>
      </c>
      <c r="I52" s="27" t="s">
        <v>209</v>
      </c>
      <c r="J52" s="53"/>
      <c r="K52" s="27" t="s">
        <v>252</v>
      </c>
      <c r="L52" s="27" t="s">
        <v>225</v>
      </c>
      <c r="M52" s="27" t="s">
        <v>193</v>
      </c>
      <c r="N52" s="27" t="s">
        <v>48</v>
      </c>
      <c r="O52" s="5">
        <v>1719153.4399999995</v>
      </c>
      <c r="P52" s="5">
        <v>2903456.9900000012</v>
      </c>
      <c r="Q52" s="5">
        <v>3193643.29</v>
      </c>
      <c r="R52" s="5">
        <v>6788573.6399999978</v>
      </c>
      <c r="S52" s="5">
        <v>3567001.2800000007</v>
      </c>
      <c r="T52" s="5">
        <v>4466264.5200000014</v>
      </c>
      <c r="U52" s="5">
        <v>3125808.8300000015</v>
      </c>
      <c r="V52" s="5">
        <v>1918338.17</v>
      </c>
      <c r="W52" s="5">
        <v>1348743.4400000002</v>
      </c>
      <c r="X52" s="69">
        <v>3236249.0935347094</v>
      </c>
      <c r="Y52" s="69">
        <v>1928920.0628096927</v>
      </c>
      <c r="Z52" s="69">
        <v>1369607.6783906654</v>
      </c>
      <c r="AA52" s="4">
        <f si="9" t="shared"/>
        <v>35565760.434735075</v>
      </c>
      <c r="AB52" s="41">
        <f>O52*0.5</f>
        <v>859576.71999999974</v>
      </c>
      <c r="AC52" s="41">
        <f ref="AC52:AM52" si="20" t="shared">P52*0.5</f>
        <v>1451728.4950000006</v>
      </c>
      <c r="AD52" s="41">
        <f si="20" t="shared"/>
        <v>1596821.645</v>
      </c>
      <c r="AE52" s="41">
        <f si="20" t="shared"/>
        <v>3394286.8199999989</v>
      </c>
      <c r="AF52" s="41">
        <f si="20" t="shared"/>
        <v>1783500.6400000004</v>
      </c>
      <c r="AG52" s="41">
        <f si="20" t="shared"/>
        <v>2233132.2600000007</v>
      </c>
      <c r="AH52" s="41">
        <f si="20" t="shared"/>
        <v>1562904.4150000007</v>
      </c>
      <c r="AI52" s="41">
        <f si="20" t="shared"/>
        <v>959169.08499999996</v>
      </c>
      <c r="AJ52" s="41">
        <f si="20" t="shared"/>
        <v>674371.72000000009</v>
      </c>
      <c r="AK52" s="41">
        <f si="20" t="shared"/>
        <v>1618124.5467673547</v>
      </c>
      <c r="AL52" s="41">
        <f si="20" t="shared"/>
        <v>964460.03140484635</v>
      </c>
      <c r="AM52" s="41">
        <f si="20" t="shared"/>
        <v>684803.83919533272</v>
      </c>
      <c r="AN52" s="4">
        <f si="10" t="shared"/>
        <v>17782880.217367537</v>
      </c>
      <c r="AO52" s="27"/>
      <c r="AP52" s="27"/>
      <c r="AQ52" s="42"/>
      <c r="AR52" s="42"/>
      <c r="AS52" s="42"/>
      <c r="AT52" s="42"/>
      <c r="AU52" s="27"/>
      <c r="AV52" s="27"/>
      <c r="AW52" s="13" t="s">
        <v>22</v>
      </c>
      <c r="AX52" s="41"/>
      <c r="AY52" s="41"/>
      <c r="AZ52" s="41"/>
      <c r="BA52" s="63">
        <f si="6" t="shared"/>
        <v>3236249.0935347094</v>
      </c>
      <c r="BB52" s="63">
        <f si="7" t="shared"/>
        <v>1928920.0628096927</v>
      </c>
      <c r="BC52" s="63">
        <f si="8" t="shared"/>
        <v>1369607.6783906654</v>
      </c>
    </row>
    <row r="53" spans="1:55" x14ac:dyDescent="0.2">
      <c r="A53" s="63" t="str">
        <f si="5" t="shared"/>
        <v>СКБСЖРозницаWMНон-лайфСКБЖНСЖ_СИВ_ДМСCiti KidsЕдиновременнаяНовый</v>
      </c>
      <c r="B53" s="27" t="s">
        <v>4</v>
      </c>
      <c r="C53" s="1" t="str">
        <f>IFERROR(VLOOKUP(D53,Каналы!$B:$C,2,0),"")</f>
        <v>Розница</v>
      </c>
      <c r="D53" s="65" t="s">
        <v>6</v>
      </c>
      <c r="E53" s="1"/>
      <c r="F53" s="27"/>
      <c r="G53" s="27"/>
      <c r="H53" s="1" t="s">
        <v>30</v>
      </c>
      <c r="I53" s="27" t="s">
        <v>209</v>
      </c>
      <c r="J53" s="53"/>
      <c r="K53" s="27" t="s">
        <v>252</v>
      </c>
      <c r="L53" s="27" t="s">
        <v>226</v>
      </c>
      <c r="M53" s="27" t="s">
        <v>194</v>
      </c>
      <c r="N53" s="27" t="s">
        <v>29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69"/>
      <c r="Y53" s="69"/>
      <c r="Z53" s="69"/>
      <c r="AA53" s="4">
        <f si="9" t="shared"/>
        <v>0</v>
      </c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">
        <f si="10" t="shared"/>
        <v>0</v>
      </c>
      <c r="AO53" s="27"/>
      <c r="AP53" s="27"/>
      <c r="AQ53" s="42"/>
      <c r="AR53" s="42"/>
      <c r="AS53" s="42"/>
      <c r="AT53" s="42"/>
      <c r="AU53" s="27"/>
      <c r="AV53" s="27"/>
      <c r="AW53" s="13">
        <v>0</v>
      </c>
      <c r="AX53" s="41"/>
      <c r="AY53" s="41"/>
      <c r="AZ53" s="41"/>
      <c r="BA53" s="63">
        <f si="6" t="shared"/>
        <v>0</v>
      </c>
      <c r="BB53" s="63">
        <f si="7" t="shared"/>
        <v>0</v>
      </c>
      <c r="BC53" s="63">
        <f si="8" t="shared"/>
        <v>0</v>
      </c>
    </row>
    <row r="54" spans="1:55" x14ac:dyDescent="0.2">
      <c r="A54" s="63" t="str">
        <f si="5" t="shared"/>
        <v>СКБСЖРозницаWMНон-лайфСКБЖНСЖ_СИВ_ДМСCiti KidsРегулярнаяПролонгация</v>
      </c>
      <c r="B54" s="27" t="s">
        <v>4</v>
      </c>
      <c r="C54" s="1" t="str">
        <f>IFERROR(VLOOKUP(D54,Каналы!$B:$C,2,0),"")</f>
        <v>Розница</v>
      </c>
      <c r="D54" s="65" t="s">
        <v>6</v>
      </c>
      <c r="E54" s="1"/>
      <c r="F54" s="27"/>
      <c r="G54" s="27"/>
      <c r="H54" s="1" t="s">
        <v>30</v>
      </c>
      <c r="I54" s="27" t="s">
        <v>209</v>
      </c>
      <c r="J54" s="53"/>
      <c r="K54" s="27" t="s">
        <v>252</v>
      </c>
      <c r="L54" s="27" t="s">
        <v>226</v>
      </c>
      <c r="M54" s="27" t="s">
        <v>193</v>
      </c>
      <c r="N54" s="27" t="s">
        <v>48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69"/>
      <c r="Y54" s="69"/>
      <c r="Z54" s="69"/>
      <c r="AA54" s="4">
        <f si="9" t="shared"/>
        <v>0</v>
      </c>
      <c r="AB54" s="41">
        <f>O54*0.5</f>
        <v>0</v>
      </c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">
        <f si="10" t="shared"/>
        <v>0</v>
      </c>
      <c r="AO54" s="27"/>
      <c r="AP54" s="27"/>
      <c r="AQ54" s="42"/>
      <c r="AR54" s="42"/>
      <c r="AS54" s="42"/>
      <c r="AT54" s="42"/>
      <c r="AU54" s="27"/>
      <c r="AV54" s="27"/>
      <c r="AW54" s="13">
        <v>0</v>
      </c>
      <c r="AX54" s="41"/>
      <c r="AY54" s="41"/>
      <c r="AZ54" s="41"/>
      <c r="BA54" s="63">
        <f si="6" t="shared"/>
        <v>0</v>
      </c>
      <c r="BB54" s="63">
        <f si="7" t="shared"/>
        <v>0</v>
      </c>
      <c r="BC54" s="63">
        <f si="8" t="shared"/>
        <v>0</v>
      </c>
    </row>
    <row r="55" spans="1:55" x14ac:dyDescent="0.2">
      <c r="A55" s="63" t="str">
        <f si="5" t="shared"/>
        <v>СКБСЖРозницаWMНон-лайфСКБЖНСЖ_СИВ_ДМСCiti PremiumЕдиновременнаяНовый</v>
      </c>
      <c r="B55" s="27" t="s">
        <v>4</v>
      </c>
      <c r="C55" s="1" t="str">
        <f>IFERROR(VLOOKUP(D55,Каналы!$B:$C,2,0),"")</f>
        <v>Розница</v>
      </c>
      <c r="D55" s="65" t="s">
        <v>6</v>
      </c>
      <c r="E55" s="1"/>
      <c r="F55" s="27"/>
      <c r="G55" s="27"/>
      <c r="H55" s="1" t="s">
        <v>30</v>
      </c>
      <c r="I55" s="27" t="s">
        <v>209</v>
      </c>
      <c r="J55" s="53"/>
      <c r="K55" s="27" t="s">
        <v>252</v>
      </c>
      <c r="L55" s="27" t="s">
        <v>227</v>
      </c>
      <c r="M55" s="27" t="s">
        <v>194</v>
      </c>
      <c r="N55" s="27" t="s">
        <v>29</v>
      </c>
      <c r="O55" s="5"/>
      <c r="P55" s="5">
        <v>0</v>
      </c>
      <c r="Q55" s="5"/>
      <c r="R55" s="5"/>
      <c r="S55" s="5"/>
      <c r="T55" s="5"/>
      <c r="U55" s="5"/>
      <c r="V55" s="5">
        <v>0</v>
      </c>
      <c r="W55" s="5"/>
      <c r="X55" s="69"/>
      <c r="Y55" s="69"/>
      <c r="Z55" s="69"/>
      <c r="AA55" s="4">
        <f si="9" t="shared"/>
        <v>0</v>
      </c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">
        <f si="10" t="shared"/>
        <v>0</v>
      </c>
      <c r="AO55" s="27"/>
      <c r="AP55" s="27"/>
      <c r="AQ55" s="42"/>
      <c r="AR55" s="42"/>
      <c r="AS55" s="42"/>
      <c r="AT55" s="42"/>
      <c r="AU55" s="27"/>
      <c r="AV55" s="27"/>
      <c r="AW55" s="13">
        <v>0</v>
      </c>
      <c r="AX55" s="41"/>
      <c r="AY55" s="41"/>
      <c r="AZ55" s="41"/>
      <c r="BA55" s="63">
        <f si="6" t="shared"/>
        <v>0</v>
      </c>
      <c r="BB55" s="63">
        <f si="7" t="shared"/>
        <v>0</v>
      </c>
      <c r="BC55" s="63">
        <f si="8" t="shared"/>
        <v>0</v>
      </c>
    </row>
    <row r="56" spans="1:55" x14ac:dyDescent="0.2">
      <c r="A56" s="63" t="str">
        <f si="5" t="shared"/>
        <v>СКБСЖРозницаWMНон-лайфСКБЖНСЖ_СИВ_ДМСCiti PremiumРегулярнаяПролонгация</v>
      </c>
      <c r="B56" s="27" t="s">
        <v>4</v>
      </c>
      <c r="C56" s="1" t="str">
        <f>IFERROR(VLOOKUP(D56,Каналы!$B:$C,2,0),"")</f>
        <v>Розница</v>
      </c>
      <c r="D56" s="65" t="s">
        <v>6</v>
      </c>
      <c r="E56" s="1"/>
      <c r="F56" s="27"/>
      <c r="G56" s="27"/>
      <c r="H56" s="1" t="s">
        <v>30</v>
      </c>
      <c r="I56" s="27" t="s">
        <v>209</v>
      </c>
      <c r="J56" s="53"/>
      <c r="K56" s="27" t="s">
        <v>252</v>
      </c>
      <c r="L56" s="27" t="s">
        <v>227</v>
      </c>
      <c r="M56" s="27" t="s">
        <v>193</v>
      </c>
      <c r="N56" s="27" t="s">
        <v>48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69"/>
      <c r="Y56" s="69"/>
      <c r="Z56" s="69"/>
      <c r="AA56" s="4">
        <f si="9" t="shared"/>
        <v>0</v>
      </c>
      <c r="AB56" s="41">
        <f>O56*0.5</f>
        <v>0</v>
      </c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">
        <f si="10" t="shared"/>
        <v>0</v>
      </c>
      <c r="AO56" s="27"/>
      <c r="AP56" s="27"/>
      <c r="AQ56" s="42"/>
      <c r="AR56" s="42"/>
      <c r="AS56" s="42"/>
      <c r="AT56" s="42"/>
      <c r="AU56" s="27"/>
      <c r="AV56" s="27"/>
      <c r="AW56" s="13">
        <v>0</v>
      </c>
      <c r="AX56" s="41"/>
      <c r="AY56" s="41"/>
      <c r="AZ56" s="41"/>
      <c r="BA56" s="63">
        <f si="6" t="shared"/>
        <v>0</v>
      </c>
      <c r="BB56" s="63">
        <f si="7" t="shared"/>
        <v>0</v>
      </c>
      <c r="BC56" s="63">
        <f si="8" t="shared"/>
        <v>0</v>
      </c>
    </row>
    <row r="57" spans="1:55" x14ac:dyDescent="0.2">
      <c r="A57" s="63" t="str">
        <f si="5" t="shared"/>
        <v>СКБСЖРозницаWMНон-лайфСКБЖНСЖ_СИВ_ДМСПрочее (СИВ)ЕдиновременнаяНовый</v>
      </c>
      <c r="B57" s="27" t="s">
        <v>4</v>
      </c>
      <c r="C57" s="1" t="str">
        <f>IFERROR(VLOOKUP(D57,Каналы!$B:$C,2,0),"")</f>
        <v>Розница</v>
      </c>
      <c r="D57" s="65" t="s">
        <v>6</v>
      </c>
      <c r="E57" s="1"/>
      <c r="F57" s="27"/>
      <c r="G57" s="27"/>
      <c r="H57" s="1" t="s">
        <v>30</v>
      </c>
      <c r="I57" s="27" t="s">
        <v>209</v>
      </c>
      <c r="J57" s="53"/>
      <c r="K57" s="27" t="s">
        <v>252</v>
      </c>
      <c r="L57" s="27" t="s">
        <v>223</v>
      </c>
      <c r="M57" s="27" t="s">
        <v>194</v>
      </c>
      <c r="N57" s="27" t="s">
        <v>29</v>
      </c>
      <c r="O57" s="5"/>
      <c r="P57" s="5">
        <v>0</v>
      </c>
      <c r="Q57" s="5"/>
      <c r="R57" s="5"/>
      <c r="S57" s="5"/>
      <c r="T57" s="5"/>
      <c r="U57" s="5"/>
      <c r="V57" s="5"/>
      <c r="W57" s="5"/>
      <c r="X57" s="69"/>
      <c r="Y57" s="69"/>
      <c r="Z57" s="69"/>
      <c r="AA57" s="4">
        <f si="9" t="shared"/>
        <v>0</v>
      </c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">
        <f si="10" t="shared"/>
        <v>0</v>
      </c>
      <c r="AO57" s="27"/>
      <c r="AP57" s="27"/>
      <c r="AQ57" s="42"/>
      <c r="AR57" s="42"/>
      <c r="AS57" s="42"/>
      <c r="AT57" s="42"/>
      <c r="AU57" s="27"/>
      <c r="AV57" s="27"/>
      <c r="AW57" s="13">
        <v>0</v>
      </c>
      <c r="AX57" s="41"/>
      <c r="AY57" s="41"/>
      <c r="AZ57" s="41"/>
      <c r="BA57" s="63">
        <f si="6" t="shared"/>
        <v>0</v>
      </c>
      <c r="BB57" s="63">
        <f si="7" t="shared"/>
        <v>0</v>
      </c>
      <c r="BC57" s="63">
        <f si="8" t="shared"/>
        <v>0</v>
      </c>
    </row>
    <row r="58" spans="1:55" x14ac:dyDescent="0.2">
      <c r="A58" s="63" t="str">
        <f si="5" t="shared"/>
        <v>СКБСЖРозницаWMНон-лайфСКБЖНСЖ_СИВ_ДМСПрочее (СИВ)РегулярнаяПролонгация</v>
      </c>
      <c r="B58" s="27" t="s">
        <v>4</v>
      </c>
      <c r="C58" s="1" t="str">
        <f>IFERROR(VLOOKUP(D58,Каналы!$B:$C,2,0),"")</f>
        <v>Розница</v>
      </c>
      <c r="D58" s="65" t="s">
        <v>6</v>
      </c>
      <c r="E58" s="1"/>
      <c r="F58" s="27"/>
      <c r="G58" s="27"/>
      <c r="H58" s="1" t="s">
        <v>30</v>
      </c>
      <c r="I58" s="27" t="s">
        <v>209</v>
      </c>
      <c r="J58" s="53"/>
      <c r="K58" s="27" t="s">
        <v>252</v>
      </c>
      <c r="L58" s="27" t="s">
        <v>223</v>
      </c>
      <c r="M58" s="27" t="s">
        <v>193</v>
      </c>
      <c r="N58" s="27" t="s">
        <v>48</v>
      </c>
      <c r="O58" s="5">
        <v>0</v>
      </c>
      <c r="P58" s="5">
        <v>235425.91</v>
      </c>
      <c r="Q58" s="5">
        <v>163893.59000000003</v>
      </c>
      <c r="R58" s="5">
        <v>320813.72000000003</v>
      </c>
      <c r="S58" s="5">
        <v>106642.95</v>
      </c>
      <c r="T58" s="5">
        <v>198399.49</v>
      </c>
      <c r="U58" s="5">
        <v>0</v>
      </c>
      <c r="V58" s="5">
        <v>118542.16</v>
      </c>
      <c r="W58" s="5">
        <v>184080.93</v>
      </c>
      <c r="X58" s="69">
        <v>78261.794584624207</v>
      </c>
      <c r="Y58" s="69">
        <v>114720.83647017919</v>
      </c>
      <c r="Z58" s="69">
        <v>186715.58623862854</v>
      </c>
      <c r="AA58" s="4">
        <f si="9" t="shared"/>
        <v>1707496.9672934317</v>
      </c>
      <c r="AB58" s="41">
        <f>O58*0.5</f>
        <v>0</v>
      </c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">
        <f si="10" t="shared"/>
        <v>0</v>
      </c>
      <c r="AO58" s="27"/>
      <c r="AP58" s="27"/>
      <c r="AQ58" s="42"/>
      <c r="AR58" s="42"/>
      <c r="AS58" s="42"/>
      <c r="AT58" s="42"/>
      <c r="AU58" s="27"/>
      <c r="AV58" s="27"/>
      <c r="AW58" s="13" t="s">
        <v>22</v>
      </c>
      <c r="AX58" s="41"/>
      <c r="AY58" s="41"/>
      <c r="AZ58" s="41"/>
      <c r="BA58" s="63">
        <f si="6" t="shared"/>
        <v>78261.794584624207</v>
      </c>
      <c r="BB58" s="63">
        <f si="7" t="shared"/>
        <v>114720.83647017919</v>
      </c>
      <c r="BC58" s="63">
        <f si="8" t="shared"/>
        <v>186715.58623862854</v>
      </c>
    </row>
    <row r="59" spans="1:55" x14ac:dyDescent="0.2">
      <c r="A59" s="63" t="str">
        <f si="5" t="shared"/>
        <v>СКБСЖРозницаWMНон-лайфСКБЖНСЖ_СИВ_ДМССтабильный курсЕдиновременнаяНовый</v>
      </c>
      <c r="B59" s="27" t="s">
        <v>4</v>
      </c>
      <c r="C59" s="1" t="str">
        <f>IFERROR(VLOOKUP(D59,Каналы!$B:$C,2,0),"")</f>
        <v>Розница</v>
      </c>
      <c r="D59" s="27" t="s">
        <v>6</v>
      </c>
      <c r="E59" s="1"/>
      <c r="F59" s="27"/>
      <c r="G59" s="27"/>
      <c r="H59" s="1" t="s">
        <v>30</v>
      </c>
      <c r="I59" s="27" t="s">
        <v>209</v>
      </c>
      <c r="J59" s="53"/>
      <c r="K59" s="27" t="s">
        <v>252</v>
      </c>
      <c r="L59" s="27" t="s">
        <v>198</v>
      </c>
      <c r="M59" s="27" t="s">
        <v>194</v>
      </c>
      <c r="N59" s="27" t="s">
        <v>29</v>
      </c>
      <c r="O59" s="5">
        <v>0</v>
      </c>
      <c r="P59" s="5">
        <v>559581.13</v>
      </c>
      <c r="Q59" s="5">
        <v>0</v>
      </c>
      <c r="R59" s="5">
        <v>50823.53</v>
      </c>
      <c r="S59" s="5">
        <v>0</v>
      </c>
      <c r="T59" s="5">
        <v>0</v>
      </c>
      <c r="U59" s="5">
        <v>134664.35999999999</v>
      </c>
      <c r="V59" s="5">
        <v>127073.53</v>
      </c>
      <c r="W59" s="5">
        <v>0</v>
      </c>
      <c r="X59" s="69">
        <v>137004.55045110596</v>
      </c>
      <c r="Y59" s="69">
        <v>72950.585135606278</v>
      </c>
      <c r="Z59" s="69">
        <v>0</v>
      </c>
      <c r="AA59" s="4">
        <f si="9" t="shared"/>
        <v>1082097.6855867123</v>
      </c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">
        <f si="10" t="shared"/>
        <v>0</v>
      </c>
      <c r="AO59" s="27"/>
      <c r="AP59" s="27"/>
      <c r="AQ59" s="42"/>
      <c r="AR59" s="42"/>
      <c r="AS59" s="42"/>
      <c r="AT59" s="42"/>
      <c r="AU59" s="27"/>
      <c r="AV59" s="27"/>
      <c r="AW59" s="13" t="s">
        <v>22</v>
      </c>
      <c r="AX59" s="41"/>
      <c r="AY59" s="41"/>
      <c r="AZ59" s="41"/>
      <c r="BA59" s="63">
        <f si="6" t="shared"/>
        <v>137004.55045110596</v>
      </c>
      <c r="BB59" s="63">
        <f si="7" t="shared"/>
        <v>72950.585135606278</v>
      </c>
      <c r="BC59" s="63">
        <f si="8" t="shared"/>
        <v>0</v>
      </c>
    </row>
    <row r="60" spans="1:55" x14ac:dyDescent="0.2">
      <c r="A60" s="63" t="str">
        <f si="5" t="shared"/>
        <v>СКБСЖРозницаWMНон-лайфСКБЖНСЖ_СИВ_ДМССтабильный курсРегулярнаяНовый</v>
      </c>
      <c r="B60" s="27" t="s">
        <v>4</v>
      </c>
      <c r="C60" s="1" t="str">
        <f>IFERROR(VLOOKUP(D60,Каналы!$B:$C,2,0),"")</f>
        <v>Розница</v>
      </c>
      <c r="D60" s="27" t="s">
        <v>6</v>
      </c>
      <c r="E60" s="1"/>
      <c r="F60" s="27"/>
      <c r="G60" s="27"/>
      <c r="H60" s="1" t="s">
        <v>30</v>
      </c>
      <c r="I60" s="27" t="s">
        <v>209</v>
      </c>
      <c r="J60" s="53"/>
      <c r="K60" s="27" t="s">
        <v>252</v>
      </c>
      <c r="L60" s="27" t="s">
        <v>198</v>
      </c>
      <c r="M60" s="27" t="s">
        <v>193</v>
      </c>
      <c r="N60" s="27" t="s">
        <v>29</v>
      </c>
      <c r="O60" s="5">
        <v>165899.1</v>
      </c>
      <c r="P60" s="5">
        <v>50650.28</v>
      </c>
      <c r="Q60" s="5"/>
      <c r="R60" s="5">
        <v>248932.34000000003</v>
      </c>
      <c r="S60" s="5">
        <v>56580.31</v>
      </c>
      <c r="T60" s="5">
        <v>123690.05</v>
      </c>
      <c r="U60" s="5">
        <v>0</v>
      </c>
      <c r="V60" s="5">
        <v>0</v>
      </c>
      <c r="W60" s="5"/>
      <c r="X60" s="69"/>
      <c r="Y60" s="69"/>
      <c r="Z60" s="69"/>
      <c r="AA60" s="4">
        <f si="9" t="shared"/>
        <v>645752.08000000007</v>
      </c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">
        <f si="10" t="shared"/>
        <v>0</v>
      </c>
      <c r="AO60" s="27"/>
      <c r="AP60" s="27"/>
      <c r="AQ60" s="42"/>
      <c r="AR60" s="42"/>
      <c r="AS60" s="42"/>
      <c r="AT60" s="42"/>
      <c r="AU60" s="27"/>
      <c r="AV60" s="27"/>
      <c r="AW60" s="13" t="s">
        <v>22</v>
      </c>
      <c r="AX60" s="41"/>
      <c r="AY60" s="41"/>
      <c r="AZ60" s="41"/>
      <c r="BA60" s="63">
        <f si="6" t="shared"/>
        <v>0</v>
      </c>
      <c r="BB60" s="63">
        <f si="7" t="shared"/>
        <v>0</v>
      </c>
      <c r="BC60" s="63">
        <f si="8" t="shared"/>
        <v>0</v>
      </c>
    </row>
    <row r="61" spans="1:55" x14ac:dyDescent="0.2">
      <c r="A61" s="63" t="str">
        <f si="5" t="shared"/>
        <v>СКБСЖРозницаWMНон-лайфСКБЖНСЖ_СИВ_ДМССтабильный курсРегулярнаяПролонгация</v>
      </c>
      <c r="B61" s="27" t="s">
        <v>4</v>
      </c>
      <c r="C61" s="1" t="str">
        <f>IFERROR(VLOOKUP(D61,Каналы!$B:$C,2,0),"")</f>
        <v>Розница</v>
      </c>
      <c r="D61" s="27" t="s">
        <v>6</v>
      </c>
      <c r="E61" s="1"/>
      <c r="F61" s="27"/>
      <c r="G61" s="27"/>
      <c r="H61" s="1" t="s">
        <v>30</v>
      </c>
      <c r="I61" s="27" t="s">
        <v>209</v>
      </c>
      <c r="J61" s="53"/>
      <c r="K61" s="27" t="s">
        <v>252</v>
      </c>
      <c r="L61" s="27" t="s">
        <v>198</v>
      </c>
      <c r="M61" s="27" t="s">
        <v>193</v>
      </c>
      <c r="N61" s="27" t="s">
        <v>48</v>
      </c>
      <c r="O61" s="5"/>
      <c r="P61" s="5">
        <v>0</v>
      </c>
      <c r="Q61" s="5">
        <v>93481.260000000009</v>
      </c>
      <c r="R61" s="5">
        <v>0</v>
      </c>
      <c r="S61" s="5">
        <v>0</v>
      </c>
      <c r="T61" s="5">
        <v>288949.26999999996</v>
      </c>
      <c r="U61" s="5">
        <v>0</v>
      </c>
      <c r="V61" s="5">
        <v>378608.51</v>
      </c>
      <c r="W61" s="5">
        <v>311142.25</v>
      </c>
      <c r="X61" s="69">
        <v>0</v>
      </c>
      <c r="Y61" s="69">
        <v>7084933.5294374786</v>
      </c>
      <c r="Z61" s="69">
        <v>15103803.51546308</v>
      </c>
      <c r="AA61" s="4">
        <f si="9" t="shared"/>
        <v>23260918.334900558</v>
      </c>
      <c r="AB61" s="41">
        <f>O61*0.5</f>
        <v>0</v>
      </c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">
        <f si="10" t="shared"/>
        <v>0</v>
      </c>
      <c r="AO61" s="27"/>
      <c r="AP61" s="27"/>
      <c r="AQ61" s="42"/>
      <c r="AR61" s="42"/>
      <c r="AS61" s="42"/>
      <c r="AT61" s="42"/>
      <c r="AU61" s="27"/>
      <c r="AV61" s="27"/>
      <c r="AW61" s="13" t="s">
        <v>22</v>
      </c>
      <c r="AX61" s="41"/>
      <c r="AY61" s="41"/>
      <c r="AZ61" s="41"/>
      <c r="BA61" s="63">
        <f si="6" t="shared"/>
        <v>0</v>
      </c>
      <c r="BB61" s="63">
        <f si="7" t="shared"/>
        <v>7084933.5294374786</v>
      </c>
      <c r="BC61" s="63">
        <f si="8" t="shared"/>
        <v>15103803.51546308</v>
      </c>
    </row>
    <row r="62" spans="1:55" x14ac:dyDescent="0.2">
      <c r="A62" s="63" t="str">
        <f si="5" t="shared"/>
        <v>СКБСЖРозницаWMНон-лайфСКБЖНСЖ_СИВ_ДМССила процентаЕдиновременнаяНовый</v>
      </c>
      <c r="B62" s="27" t="s">
        <v>4</v>
      </c>
      <c r="C62" s="1" t="str">
        <f>IFERROR(VLOOKUP(D62,Каналы!$B:$C,2,0),"")</f>
        <v>Розница</v>
      </c>
      <c r="D62" s="65" t="s">
        <v>6</v>
      </c>
      <c r="E62" s="1"/>
      <c r="F62" s="27"/>
      <c r="G62" s="27"/>
      <c r="H62" s="1" t="s">
        <v>30</v>
      </c>
      <c r="I62" s="27" t="s">
        <v>209</v>
      </c>
      <c r="J62" s="53"/>
      <c r="K62" s="27" t="s">
        <v>252</v>
      </c>
      <c r="L62" s="27" t="s">
        <v>228</v>
      </c>
      <c r="M62" s="27" t="s">
        <v>194</v>
      </c>
      <c r="N62" s="27" t="s">
        <v>29</v>
      </c>
      <c r="O62" s="5"/>
      <c r="P62" s="5"/>
      <c r="Q62" s="5"/>
      <c r="R62" s="5"/>
      <c r="S62" s="5"/>
      <c r="T62" s="5"/>
      <c r="U62" s="5"/>
      <c r="V62" s="5">
        <v>0</v>
      </c>
      <c r="W62" s="5">
        <v>0</v>
      </c>
      <c r="X62" s="69"/>
      <c r="Y62" s="69"/>
      <c r="Z62" s="69"/>
      <c r="AA62" s="4">
        <f si="9" t="shared"/>
        <v>0</v>
      </c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">
        <f si="10" t="shared"/>
        <v>0</v>
      </c>
      <c r="AO62" s="27"/>
      <c r="AP62" s="27"/>
      <c r="AQ62" s="42"/>
      <c r="AR62" s="42"/>
      <c r="AS62" s="42"/>
      <c r="AT62" s="42"/>
      <c r="AU62" s="27"/>
      <c r="AV62" s="27"/>
      <c r="AW62" s="13">
        <v>0</v>
      </c>
      <c r="AX62" s="41"/>
      <c r="AY62" s="41"/>
      <c r="AZ62" s="41"/>
      <c r="BA62" s="63">
        <f si="6" t="shared"/>
        <v>0</v>
      </c>
      <c r="BB62" s="63">
        <f si="7" t="shared"/>
        <v>0</v>
      </c>
      <c r="BC62" s="63">
        <f si="8" t="shared"/>
        <v>0</v>
      </c>
    </row>
    <row r="63" spans="1:55" x14ac:dyDescent="0.2">
      <c r="A63" s="63" t="str">
        <f si="5" t="shared"/>
        <v>СКБСЖРозницаWMНон-лайфСКБЖНСЖ_СИВ_НСCiti ComfortРегулярнаяПролонгация</v>
      </c>
      <c r="B63" s="27" t="s">
        <v>4</v>
      </c>
      <c r="C63" s="1" t="str">
        <f>IFERROR(VLOOKUP(D63,Каналы!$B:$C,2,0),"")</f>
        <v>Розница</v>
      </c>
      <c r="D63" s="65" t="s">
        <v>6</v>
      </c>
      <c r="E63" s="1"/>
      <c r="F63" s="27"/>
      <c r="G63" s="27"/>
      <c r="H63" s="1" t="s">
        <v>30</v>
      </c>
      <c r="I63" s="27" t="s">
        <v>209</v>
      </c>
      <c r="J63" s="53"/>
      <c r="K63" s="27" t="s">
        <v>253</v>
      </c>
      <c r="L63" s="27" t="s">
        <v>224</v>
      </c>
      <c r="M63" s="27" t="s">
        <v>193</v>
      </c>
      <c r="N63" s="27" t="s">
        <v>48</v>
      </c>
      <c r="O63" s="5">
        <v>697642.01000000013</v>
      </c>
      <c r="P63" s="5">
        <v>677502.2300000001</v>
      </c>
      <c r="Q63" s="5">
        <v>1442385.3699999999</v>
      </c>
      <c r="R63" s="5">
        <v>658666.83000000031</v>
      </c>
      <c r="S63" s="5">
        <v>1339429.29</v>
      </c>
      <c r="T63" s="5">
        <v>1026118.3</v>
      </c>
      <c r="U63" s="5">
        <v>1706540.3200000003</v>
      </c>
      <c r="V63" s="5">
        <v>1115847.02</v>
      </c>
      <c r="W63" s="5">
        <v>646942.69999999995</v>
      </c>
      <c r="X63" s="69">
        <v>1723659.9004421344</v>
      </c>
      <c r="Y63" s="69">
        <v>1133892.0394936658</v>
      </c>
      <c r="Z63" s="69">
        <v>659434.63510791585</v>
      </c>
      <c r="AA63" s="4">
        <f si="9" t="shared"/>
        <v>12828060.645043716</v>
      </c>
      <c r="AB63" s="41">
        <f>O63*0.5</f>
        <v>348821.00500000006</v>
      </c>
      <c r="AC63" s="41">
        <f ref="AC63:AM63" si="21" t="shared">P63*0.5</f>
        <v>338751.11500000005</v>
      </c>
      <c r="AD63" s="41">
        <f si="21" t="shared"/>
        <v>721192.68499999994</v>
      </c>
      <c r="AE63" s="41">
        <f si="21" t="shared"/>
        <v>329333.41500000015</v>
      </c>
      <c r="AF63" s="41">
        <f si="21" t="shared"/>
        <v>669714.64500000002</v>
      </c>
      <c r="AG63" s="41">
        <f si="21" t="shared"/>
        <v>513059.15</v>
      </c>
      <c r="AH63" s="41">
        <f si="21" t="shared"/>
        <v>853270.16000000015</v>
      </c>
      <c r="AI63" s="41">
        <f si="21" t="shared"/>
        <v>557923.51</v>
      </c>
      <c r="AJ63" s="41">
        <f si="21" t="shared"/>
        <v>323471.34999999998</v>
      </c>
      <c r="AK63" s="41">
        <f si="21" t="shared"/>
        <v>861829.95022106718</v>
      </c>
      <c r="AL63" s="41">
        <f si="21" t="shared"/>
        <v>566946.0197468329</v>
      </c>
      <c r="AM63" s="41">
        <f si="21" t="shared"/>
        <v>329717.31755395792</v>
      </c>
      <c r="AN63" s="4">
        <f si="10" t="shared"/>
        <v>6414030.3225218579</v>
      </c>
      <c r="AO63" s="27"/>
      <c r="AP63" s="27"/>
      <c r="AQ63" s="42"/>
      <c r="AR63" s="42"/>
      <c r="AS63" s="42"/>
      <c r="AT63" s="42"/>
      <c r="AU63" s="27"/>
      <c r="AV63" s="27"/>
      <c r="AW63" s="13" t="s">
        <v>22</v>
      </c>
      <c r="AX63" s="41"/>
      <c r="AY63" s="41"/>
      <c r="AZ63" s="41"/>
      <c r="BA63" s="63">
        <f si="6" t="shared"/>
        <v>1723659.9004421344</v>
      </c>
      <c r="BB63" s="63">
        <f si="7" t="shared"/>
        <v>1133892.0394936658</v>
      </c>
      <c r="BC63" s="63">
        <f si="8" t="shared"/>
        <v>659434.63510791585</v>
      </c>
    </row>
    <row r="64" spans="1:55" x14ac:dyDescent="0.2">
      <c r="A64" s="63" t="str">
        <f si="5" t="shared"/>
        <v>СКБСЖРозницаWMНон-лайфСКБЖНСЖ_СИВ_НСCiti HealthЕдиновременнаяНовый</v>
      </c>
      <c r="B64" s="27" t="s">
        <v>4</v>
      </c>
      <c r="C64" s="1" t="str">
        <f>IFERROR(VLOOKUP(D64,Каналы!$B:$C,2,0),"")</f>
        <v>Розница</v>
      </c>
      <c r="D64" s="65" t="s">
        <v>6</v>
      </c>
      <c r="E64" s="1"/>
      <c r="F64" s="27"/>
      <c r="G64" s="27"/>
      <c r="H64" s="1" t="s">
        <v>30</v>
      </c>
      <c r="I64" s="27" t="s">
        <v>209</v>
      </c>
      <c r="J64" s="53"/>
      <c r="K64" s="27" t="s">
        <v>253</v>
      </c>
      <c r="L64" s="27" t="s">
        <v>225</v>
      </c>
      <c r="M64" s="27" t="s">
        <v>194</v>
      </c>
      <c r="N64" s="27" t="s">
        <v>29</v>
      </c>
      <c r="O64" s="5">
        <v>0</v>
      </c>
      <c r="P64" s="5"/>
      <c r="Q64" s="5"/>
      <c r="R64" s="5"/>
      <c r="S64" s="5"/>
      <c r="T64" s="5"/>
      <c r="U64" s="5"/>
      <c r="V64" s="5"/>
      <c r="W64" s="5">
        <v>0</v>
      </c>
      <c r="X64" s="69"/>
      <c r="Y64" s="69"/>
      <c r="Z64" s="69"/>
      <c r="AA64" s="4">
        <f si="9" t="shared"/>
        <v>0</v>
      </c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">
        <f si="10" t="shared"/>
        <v>0</v>
      </c>
      <c r="AO64" s="27"/>
      <c r="AP64" s="27"/>
      <c r="AQ64" s="42"/>
      <c r="AR64" s="42"/>
      <c r="AS64" s="42"/>
      <c r="AT64" s="42"/>
      <c r="AU64" s="27"/>
      <c r="AV64" s="27"/>
      <c r="AW64" s="13">
        <v>0</v>
      </c>
      <c r="AX64" s="41"/>
      <c r="AY64" s="41"/>
      <c r="AZ64" s="41"/>
      <c r="BA64" s="63">
        <f si="6" t="shared"/>
        <v>0</v>
      </c>
      <c r="BB64" s="63">
        <f si="7" t="shared"/>
        <v>0</v>
      </c>
      <c r="BC64" s="63">
        <f si="8" t="shared"/>
        <v>0</v>
      </c>
    </row>
    <row r="65" spans="1:55" x14ac:dyDescent="0.2">
      <c r="A65" s="63" t="str">
        <f si="5" t="shared"/>
        <v>СКБСЖРозницаWMНон-лайфСКБЖНСЖ_СИВ_НСCiti HealthРегулярнаяПролонгация</v>
      </c>
      <c r="B65" s="27" t="s">
        <v>4</v>
      </c>
      <c r="C65" s="1" t="str">
        <f>IFERROR(VLOOKUP(D65,Каналы!$B:$C,2,0),"")</f>
        <v>Розница</v>
      </c>
      <c r="D65" s="65" t="s">
        <v>6</v>
      </c>
      <c r="E65" s="1"/>
      <c r="F65" s="27"/>
      <c r="G65" s="27"/>
      <c r="H65" s="1" t="s">
        <v>30</v>
      </c>
      <c r="I65" s="27" t="s">
        <v>209</v>
      </c>
      <c r="J65" s="53"/>
      <c r="K65" s="27" t="s">
        <v>253</v>
      </c>
      <c r="L65" s="27" t="s">
        <v>225</v>
      </c>
      <c r="M65" s="27" t="s">
        <v>193</v>
      </c>
      <c r="N65" s="27" t="s">
        <v>48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69"/>
      <c r="Y65" s="69"/>
      <c r="Z65" s="69"/>
      <c r="AA65" s="4">
        <f si="9" t="shared"/>
        <v>0</v>
      </c>
      <c r="AB65" s="41">
        <f>O65*0.5</f>
        <v>0</v>
      </c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">
        <f si="10" t="shared"/>
        <v>0</v>
      </c>
      <c r="AO65" s="27"/>
      <c r="AP65" s="27"/>
      <c r="AQ65" s="42"/>
      <c r="AR65" s="42"/>
      <c r="AS65" s="42"/>
      <c r="AT65" s="42"/>
      <c r="AU65" s="27"/>
      <c r="AV65" s="27"/>
      <c r="AW65" s="13">
        <v>0</v>
      </c>
      <c r="AX65" s="41"/>
      <c r="AY65" s="41"/>
      <c r="AZ65" s="41"/>
      <c r="BA65" s="63">
        <f si="6" t="shared"/>
        <v>0</v>
      </c>
      <c r="BB65" s="63">
        <f si="7" t="shared"/>
        <v>0</v>
      </c>
      <c r="BC65" s="63">
        <f si="8" t="shared"/>
        <v>0</v>
      </c>
    </row>
    <row r="66" spans="1:55" x14ac:dyDescent="0.2">
      <c r="A66" s="63" t="str">
        <f si="5" t="shared"/>
        <v>СКБСЖРозницаWMНон-лайфСКБЖНСЖ_СИВ_НСCiti KidsЕдиновременнаяНовый</v>
      </c>
      <c r="B66" s="27" t="s">
        <v>4</v>
      </c>
      <c r="C66" s="1" t="str">
        <f>IFERROR(VLOOKUP(D66,Каналы!$B:$C,2,0),"")</f>
        <v>Розница</v>
      </c>
      <c r="D66" s="65" t="s">
        <v>6</v>
      </c>
      <c r="E66" s="1"/>
      <c r="F66" s="27"/>
      <c r="G66" s="27"/>
      <c r="H66" s="1" t="s">
        <v>30</v>
      </c>
      <c r="I66" s="27" t="s">
        <v>209</v>
      </c>
      <c r="J66" s="53"/>
      <c r="K66" s="27" t="s">
        <v>253</v>
      </c>
      <c r="L66" s="27" t="s">
        <v>226</v>
      </c>
      <c r="M66" s="27" t="s">
        <v>194</v>
      </c>
      <c r="N66" s="27" t="s">
        <v>29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69"/>
      <c r="Y66" s="69"/>
      <c r="Z66" s="69"/>
      <c r="AA66" s="4">
        <f si="9" t="shared"/>
        <v>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">
        <f si="10" t="shared"/>
        <v>0</v>
      </c>
      <c r="AO66" s="27"/>
      <c r="AP66" s="27"/>
      <c r="AQ66" s="42"/>
      <c r="AR66" s="42"/>
      <c r="AS66" s="42"/>
      <c r="AT66" s="42"/>
      <c r="AU66" s="27"/>
      <c r="AV66" s="27"/>
      <c r="AW66" s="13">
        <v>0</v>
      </c>
      <c r="AX66" s="41"/>
      <c r="AY66" s="41"/>
      <c r="AZ66" s="41"/>
      <c r="BA66" s="63">
        <f si="6" t="shared"/>
        <v>0</v>
      </c>
      <c r="BB66" s="63">
        <f si="7" t="shared"/>
        <v>0</v>
      </c>
      <c r="BC66" s="63">
        <f si="8" t="shared"/>
        <v>0</v>
      </c>
    </row>
    <row r="67" spans="1:55" x14ac:dyDescent="0.2">
      <c r="A67" s="63" t="str">
        <f si="5" t="shared"/>
        <v>СКБСЖРозницаWMНон-лайфСКБЖНСЖ_СИВ_НСCiti KidsРегулярнаяПролонгация</v>
      </c>
      <c r="B67" s="27" t="s">
        <v>4</v>
      </c>
      <c r="C67" s="1" t="str">
        <f>IFERROR(VLOOKUP(D67,Каналы!$B:$C,2,0),"")</f>
        <v>Розница</v>
      </c>
      <c r="D67" s="65" t="s">
        <v>6</v>
      </c>
      <c r="E67" s="1"/>
      <c r="F67" s="27"/>
      <c r="G67" s="27"/>
      <c r="H67" s="1" t="s">
        <v>30</v>
      </c>
      <c r="I67" s="27" t="s">
        <v>209</v>
      </c>
      <c r="J67" s="53"/>
      <c r="K67" s="27" t="s">
        <v>253</v>
      </c>
      <c r="L67" s="27" t="s">
        <v>226</v>
      </c>
      <c r="M67" s="27" t="s">
        <v>193</v>
      </c>
      <c r="N67" s="27" t="s">
        <v>48</v>
      </c>
      <c r="O67" s="5">
        <v>120954.23999999998</v>
      </c>
      <c r="P67" s="5">
        <v>211945.97</v>
      </c>
      <c r="Q67" s="5">
        <v>316812.58999999997</v>
      </c>
      <c r="R67" s="5">
        <v>203266.75999999998</v>
      </c>
      <c r="S67" s="5">
        <v>321246.90999999997</v>
      </c>
      <c r="T67" s="5">
        <v>349447.41999999987</v>
      </c>
      <c r="U67" s="5">
        <v>218992.66</v>
      </c>
      <c r="V67" s="5">
        <v>248166.39</v>
      </c>
      <c r="W67" s="5">
        <v>707296.64</v>
      </c>
      <c r="X67" s="69">
        <v>22460.120936626026</v>
      </c>
      <c r="Y67" s="69">
        <v>249254.76166083611</v>
      </c>
      <c r="Z67" s="69">
        <v>705933.25275469024</v>
      </c>
      <c r="AA67" s="4">
        <f si="9" t="shared"/>
        <v>3675777.7153521525</v>
      </c>
      <c r="AB67" s="41">
        <f>O67*0.5</f>
        <v>60477.119999999988</v>
      </c>
      <c r="AC67" s="41">
        <f ref="AC67:AM67" si="22" t="shared">P67*0.5</f>
        <v>105972.985</v>
      </c>
      <c r="AD67" s="41">
        <f si="22" t="shared"/>
        <v>158406.29499999998</v>
      </c>
      <c r="AE67" s="41">
        <f si="22" t="shared"/>
        <v>101633.37999999999</v>
      </c>
      <c r="AF67" s="41">
        <f si="22" t="shared"/>
        <v>160623.45499999999</v>
      </c>
      <c r="AG67" s="41">
        <f si="22" t="shared"/>
        <v>174723.70999999993</v>
      </c>
      <c r="AH67" s="41">
        <f si="22" t="shared"/>
        <v>109496.33</v>
      </c>
      <c r="AI67" s="41">
        <f si="22" t="shared"/>
        <v>124083.19500000001</v>
      </c>
      <c r="AJ67" s="41">
        <f si="22" t="shared"/>
        <v>353648.32</v>
      </c>
      <c r="AK67" s="41">
        <f si="22" t="shared"/>
        <v>11230.060468313013</v>
      </c>
      <c r="AL67" s="41">
        <f si="22" t="shared"/>
        <v>124627.38083041806</v>
      </c>
      <c r="AM67" s="41">
        <f si="22" t="shared"/>
        <v>352966.62637734512</v>
      </c>
      <c r="AN67" s="4">
        <f si="10" t="shared"/>
        <v>1837888.8576760762</v>
      </c>
      <c r="AO67" s="27"/>
      <c r="AP67" s="27"/>
      <c r="AQ67" s="42"/>
      <c r="AR67" s="42"/>
      <c r="AS67" s="42"/>
      <c r="AT67" s="42"/>
      <c r="AU67" s="27"/>
      <c r="AV67" s="27"/>
      <c r="AW67" s="13" t="s">
        <v>22</v>
      </c>
      <c r="AX67" s="41"/>
      <c r="AY67" s="41"/>
      <c r="AZ67" s="41"/>
      <c r="BA67" s="63">
        <f si="6" t="shared"/>
        <v>22460.120936626026</v>
      </c>
      <c r="BB67" s="63">
        <f si="7" t="shared"/>
        <v>249254.76166083611</v>
      </c>
      <c r="BC67" s="63">
        <f si="8" t="shared"/>
        <v>705933.25275469024</v>
      </c>
    </row>
    <row r="68" spans="1:55" x14ac:dyDescent="0.2">
      <c r="A68" s="63" t="str">
        <f si="5" t="shared"/>
        <v>СКБСЖРозницаWMНон-лайфСКБЖНСЖ_СИВ_НСCiti PremiumЕдиновременнаяНовый</v>
      </c>
      <c r="B68" s="27" t="s">
        <v>4</v>
      </c>
      <c r="C68" s="1" t="str">
        <f>IFERROR(VLOOKUP(D68,Каналы!$B:$C,2,0),"")</f>
        <v>Розница</v>
      </c>
      <c r="D68" s="65" t="s">
        <v>6</v>
      </c>
      <c r="E68" s="1"/>
      <c r="F68" s="27"/>
      <c r="G68" s="27"/>
      <c r="H68" s="1" t="s">
        <v>30</v>
      </c>
      <c r="I68" s="27" t="s">
        <v>209</v>
      </c>
      <c r="J68" s="53"/>
      <c r="K68" s="27" t="s">
        <v>253</v>
      </c>
      <c r="L68" s="27" t="s">
        <v>227</v>
      </c>
      <c r="M68" s="27" t="s">
        <v>194</v>
      </c>
      <c r="N68" s="27" t="s">
        <v>29</v>
      </c>
      <c r="O68" s="5"/>
      <c r="P68" s="5">
        <v>0</v>
      </c>
      <c r="Q68" s="5"/>
      <c r="R68" s="5"/>
      <c r="S68" s="5"/>
      <c r="T68" s="5"/>
      <c r="U68" s="5"/>
      <c r="V68" s="5">
        <v>0</v>
      </c>
      <c r="W68" s="5"/>
      <c r="X68" s="69"/>
      <c r="Y68" s="69"/>
      <c r="Z68" s="69"/>
      <c r="AA68" s="4">
        <f si="9" t="shared"/>
        <v>0</v>
      </c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">
        <f si="10" t="shared"/>
        <v>0</v>
      </c>
      <c r="AO68" s="27"/>
      <c r="AP68" s="27"/>
      <c r="AQ68" s="42"/>
      <c r="AR68" s="42"/>
      <c r="AS68" s="42"/>
      <c r="AT68" s="42"/>
      <c r="AU68" s="27"/>
      <c r="AV68" s="27"/>
      <c r="AW68" s="13">
        <v>0</v>
      </c>
      <c r="AX68" s="41"/>
      <c r="AY68" s="41"/>
      <c r="AZ68" s="41"/>
      <c r="BA68" s="63">
        <f si="6" t="shared"/>
        <v>0</v>
      </c>
      <c r="BB68" s="63">
        <f si="7" t="shared"/>
        <v>0</v>
      </c>
      <c r="BC68" s="63">
        <f si="8" t="shared"/>
        <v>0</v>
      </c>
    </row>
    <row r="69" spans="1:55" x14ac:dyDescent="0.2">
      <c r="A69" s="63" t="str">
        <f si="5" t="shared"/>
        <v>СКБСЖРозницаWMНон-лайфСКБЖНСЖ_СИВ_НСCiti PremiumРегулярнаяПролонгация</v>
      </c>
      <c r="B69" s="27" t="s">
        <v>4</v>
      </c>
      <c r="C69" s="1" t="str">
        <f>IFERROR(VLOOKUP(D69,Каналы!$B:$C,2,0),"")</f>
        <v>Розница</v>
      </c>
      <c r="D69" s="65" t="s">
        <v>6</v>
      </c>
      <c r="E69" s="1"/>
      <c r="F69" s="27"/>
      <c r="G69" s="27"/>
      <c r="H69" s="1" t="s">
        <v>30</v>
      </c>
      <c r="I69" s="27" t="s">
        <v>209</v>
      </c>
      <c r="J69" s="53"/>
      <c r="K69" s="27" t="s">
        <v>253</v>
      </c>
      <c r="L69" s="27" t="s">
        <v>227</v>
      </c>
      <c r="M69" s="27" t="s">
        <v>193</v>
      </c>
      <c r="N69" s="27" t="s">
        <v>48</v>
      </c>
      <c r="O69" s="5">
        <v>711068.82000000007</v>
      </c>
      <c r="P69" s="5">
        <v>771552.69999999972</v>
      </c>
      <c r="Q69" s="5">
        <v>348038.06000000017</v>
      </c>
      <c r="R69" s="5">
        <v>937711.00999999966</v>
      </c>
      <c r="S69" s="5">
        <v>882565.49</v>
      </c>
      <c r="T69" s="5">
        <v>925882.35</v>
      </c>
      <c r="U69" s="5">
        <v>831597.06000000017</v>
      </c>
      <c r="V69" s="5">
        <v>698690.93</v>
      </c>
      <c r="W69" s="5">
        <v>880706.69000000006</v>
      </c>
      <c r="X69" s="69">
        <v>829135.32405746053</v>
      </c>
      <c r="Y69" s="69">
        <v>698906.74749901926</v>
      </c>
      <c r="Z69" s="69">
        <v>879411.94937517424</v>
      </c>
      <c r="AA69" s="4">
        <f si="9" t="shared"/>
        <v>9395267.1309316549</v>
      </c>
      <c r="AB69" s="41">
        <f>O69*0.5</f>
        <v>355534.41000000003</v>
      </c>
      <c r="AC69" s="41">
        <f ref="AC69:AM69" si="23" t="shared">P69*0.5</f>
        <v>385776.34999999986</v>
      </c>
      <c r="AD69" s="41">
        <f si="23" t="shared"/>
        <v>174019.03000000009</v>
      </c>
      <c r="AE69" s="41">
        <f si="23" t="shared"/>
        <v>468855.50499999983</v>
      </c>
      <c r="AF69" s="41">
        <f si="23" t="shared"/>
        <v>441282.745</v>
      </c>
      <c r="AG69" s="41">
        <f si="23" t="shared"/>
        <v>462941.17499999999</v>
      </c>
      <c r="AH69" s="41">
        <f si="23" t="shared"/>
        <v>415798.53000000009</v>
      </c>
      <c r="AI69" s="41">
        <f si="23" t="shared"/>
        <v>349345.46500000003</v>
      </c>
      <c r="AJ69" s="41">
        <f si="23" t="shared"/>
        <v>440353.34500000003</v>
      </c>
      <c r="AK69" s="41">
        <f si="23" t="shared"/>
        <v>414567.66202873026</v>
      </c>
      <c r="AL69" s="41">
        <f si="23" t="shared"/>
        <v>349453.37374950963</v>
      </c>
      <c r="AM69" s="41">
        <f si="23" t="shared"/>
        <v>439705.97468758712</v>
      </c>
      <c r="AN69" s="4">
        <f si="10" t="shared"/>
        <v>4697633.5654658275</v>
      </c>
      <c r="AO69" s="27"/>
      <c r="AP69" s="27"/>
      <c r="AQ69" s="42"/>
      <c r="AR69" s="42"/>
      <c r="AS69" s="42"/>
      <c r="AT69" s="42"/>
      <c r="AU69" s="27"/>
      <c r="AV69" s="27"/>
      <c r="AW69" s="13" t="s">
        <v>22</v>
      </c>
      <c r="AX69" s="41"/>
      <c r="AY69" s="41"/>
      <c r="AZ69" s="41"/>
      <c r="BA69" s="63">
        <f si="6" t="shared"/>
        <v>829135.32405746053</v>
      </c>
      <c r="BB69" s="63">
        <f si="7" t="shared"/>
        <v>698906.74749901926</v>
      </c>
      <c r="BC69" s="63">
        <f si="8" t="shared"/>
        <v>879411.94937517424</v>
      </c>
    </row>
    <row r="70" spans="1:55" x14ac:dyDescent="0.2">
      <c r="A70" s="63" t="str">
        <f si="5" t="shared"/>
        <v>СКБСЖРозницаWMНон-лайфСКБЖНСЖ_СИВ_НСПрочее (СИВ)ЕдиновременнаяНовый</v>
      </c>
      <c r="B70" s="27" t="s">
        <v>4</v>
      </c>
      <c r="C70" s="1" t="str">
        <f>IFERROR(VLOOKUP(D70,Каналы!$B:$C,2,0),"")</f>
        <v>Розница</v>
      </c>
      <c r="D70" s="65" t="s">
        <v>6</v>
      </c>
      <c r="E70" s="1"/>
      <c r="F70" s="27"/>
      <c r="G70" s="27"/>
      <c r="H70" s="1" t="s">
        <v>30</v>
      </c>
      <c r="I70" s="27" t="s">
        <v>209</v>
      </c>
      <c r="J70" s="53"/>
      <c r="K70" s="27" t="s">
        <v>253</v>
      </c>
      <c r="L70" s="27" t="s">
        <v>223</v>
      </c>
      <c r="M70" s="27" t="s">
        <v>194</v>
      </c>
      <c r="N70" s="27" t="s">
        <v>29</v>
      </c>
      <c r="O70" s="5"/>
      <c r="P70" s="5">
        <v>0</v>
      </c>
      <c r="Q70" s="5"/>
      <c r="R70" s="5"/>
      <c r="S70" s="5"/>
      <c r="T70" s="5"/>
      <c r="U70" s="5"/>
      <c r="V70" s="5"/>
      <c r="W70" s="5"/>
      <c r="X70" s="69"/>
      <c r="Y70" s="69"/>
      <c r="Z70" s="69"/>
      <c r="AA70" s="4">
        <f si="9" t="shared"/>
        <v>0</v>
      </c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">
        <f si="10" t="shared"/>
        <v>0</v>
      </c>
      <c r="AO70" s="27"/>
      <c r="AP70" s="27"/>
      <c r="AQ70" s="42"/>
      <c r="AR70" s="42"/>
      <c r="AS70" s="42"/>
      <c r="AT70" s="42"/>
      <c r="AU70" s="27"/>
      <c r="AV70" s="27"/>
      <c r="AW70" s="13">
        <v>0</v>
      </c>
      <c r="AX70" s="41"/>
      <c r="AY70" s="41"/>
      <c r="AZ70" s="41"/>
      <c r="BA70" s="63">
        <f si="6" t="shared"/>
        <v>0</v>
      </c>
      <c r="BB70" s="63">
        <f si="7" t="shared"/>
        <v>0</v>
      </c>
      <c r="BC70" s="63">
        <f si="8" t="shared"/>
        <v>0</v>
      </c>
    </row>
    <row r="71" spans="1:55" x14ac:dyDescent="0.2">
      <c r="A71" s="63" t="str">
        <f ref="A71:A134" si="24" t="shared">CONCATENATE(B71,C71,D71,E71,F71,G71,H71,I71,J71,K71,L71,M71,N71)</f>
        <v>СКБСЖРозницаWMНон-лайфСКБЖНСЖ_СИВ_НСПрочее (СИВ)РегулярнаяПролонгация</v>
      </c>
      <c r="B71" s="27" t="s">
        <v>4</v>
      </c>
      <c r="C71" s="1" t="str">
        <f>IFERROR(VLOOKUP(D71,Каналы!$B:$C,2,0),"")</f>
        <v>Розница</v>
      </c>
      <c r="D71" s="65" t="s">
        <v>6</v>
      </c>
      <c r="E71" s="1"/>
      <c r="F71" s="27"/>
      <c r="G71" s="27"/>
      <c r="H71" s="1" t="s">
        <v>30</v>
      </c>
      <c r="I71" s="27" t="s">
        <v>209</v>
      </c>
      <c r="J71" s="53"/>
      <c r="K71" s="27" t="s">
        <v>253</v>
      </c>
      <c r="L71" s="27" t="s">
        <v>223</v>
      </c>
      <c r="M71" s="27" t="s">
        <v>193</v>
      </c>
      <c r="N71" s="27" t="s">
        <v>48</v>
      </c>
      <c r="O71" s="5">
        <v>26113.130000000019</v>
      </c>
      <c r="P71" s="5">
        <v>219939.05</v>
      </c>
      <c r="Q71" s="5">
        <v>23053.529999999992</v>
      </c>
      <c r="R71" s="5">
        <v>25087.449999999997</v>
      </c>
      <c r="S71" s="5">
        <v>24886.85</v>
      </c>
      <c r="T71" s="5">
        <v>23328.270000000004</v>
      </c>
      <c r="U71" s="5">
        <v>45723.149999999958</v>
      </c>
      <c r="V71" s="5">
        <v>20359.39000000001</v>
      </c>
      <c r="W71" s="5">
        <v>60776.729999999945</v>
      </c>
      <c r="X71" s="69">
        <v>45079.555941752864</v>
      </c>
      <c r="Y71" s="69">
        <v>19703.084968441632</v>
      </c>
      <c r="Z71" s="69">
        <v>61646.596264028187</v>
      </c>
      <c r="AA71" s="4">
        <f si="9" t="shared"/>
        <v>595696.78717422253</v>
      </c>
      <c r="AB71" s="41">
        <f>O71*0.5</f>
        <v>13056.56500000001</v>
      </c>
      <c r="AC71" s="41">
        <f ref="AC71:AM71" si="25" t="shared">P71*0.5</f>
        <v>109969.52499999999</v>
      </c>
      <c r="AD71" s="41">
        <f si="25" t="shared"/>
        <v>11526.764999999996</v>
      </c>
      <c r="AE71" s="41">
        <f si="25" t="shared"/>
        <v>12543.724999999999</v>
      </c>
      <c r="AF71" s="41">
        <f si="25" t="shared"/>
        <v>12443.424999999999</v>
      </c>
      <c r="AG71" s="41">
        <f si="25" t="shared"/>
        <v>11664.135000000002</v>
      </c>
      <c r="AH71" s="41">
        <f si="25" t="shared"/>
        <v>22861.574999999979</v>
      </c>
      <c r="AI71" s="41">
        <f si="25" t="shared"/>
        <v>10179.695000000005</v>
      </c>
      <c r="AJ71" s="41">
        <f si="25" t="shared"/>
        <v>30388.364999999972</v>
      </c>
      <c r="AK71" s="41">
        <f si="25" t="shared"/>
        <v>22539.777970876432</v>
      </c>
      <c r="AL71" s="41">
        <f si="25" t="shared"/>
        <v>9851.5424842208158</v>
      </c>
      <c r="AM71" s="41">
        <f si="25" t="shared"/>
        <v>30823.298132014093</v>
      </c>
      <c r="AN71" s="4">
        <f si="10" t="shared"/>
        <v>297848.39358711126</v>
      </c>
      <c r="AO71" s="27"/>
      <c r="AP71" s="27"/>
      <c r="AQ71" s="42"/>
      <c r="AR71" s="42"/>
      <c r="AS71" s="42"/>
      <c r="AT71" s="42"/>
      <c r="AU71" s="27"/>
      <c r="AV71" s="27"/>
      <c r="AW71" s="13" t="s">
        <v>22</v>
      </c>
      <c r="AX71" s="41"/>
      <c r="AY71" s="41"/>
      <c r="AZ71" s="41"/>
      <c r="BA71" s="63">
        <f ref="BA71:BA87" si="26" t="shared">X71-AX71</f>
        <v>45079.555941752864</v>
      </c>
      <c r="BB71" s="63">
        <f ref="BB71:BB87" si="27" t="shared">Y71-AY71</f>
        <v>19703.084968441632</v>
      </c>
      <c r="BC71" s="63">
        <f ref="BC71:BC87" si="28" t="shared">Z71-AZ71</f>
        <v>61646.596264028187</v>
      </c>
    </row>
    <row r="72" spans="1:55" x14ac:dyDescent="0.2">
      <c r="A72" s="63" t="str">
        <f si="24" t="shared"/>
        <v>СКБСЖРозницаWMНон-лайфСКБЖНСЖ_СИВ_НССтабильный курсЕдиновременнаяНовый</v>
      </c>
      <c r="B72" s="27" t="s">
        <v>4</v>
      </c>
      <c r="C72" s="1" t="str">
        <f>IFERROR(VLOOKUP(D72,Каналы!$B:$C,2,0),"")</f>
        <v>Розница</v>
      </c>
      <c r="D72" s="27" t="s">
        <v>6</v>
      </c>
      <c r="E72" s="1"/>
      <c r="F72" s="27"/>
      <c r="G72" s="27"/>
      <c r="H72" s="1" t="s">
        <v>30</v>
      </c>
      <c r="I72" s="27" t="s">
        <v>209</v>
      </c>
      <c r="J72" s="53"/>
      <c r="K72" s="27" t="s">
        <v>253</v>
      </c>
      <c r="L72" s="27" t="s">
        <v>198</v>
      </c>
      <c r="M72" s="27" t="s">
        <v>194</v>
      </c>
      <c r="N72" s="27" t="s">
        <v>29</v>
      </c>
      <c r="O72" s="5">
        <v>72027.840000000011</v>
      </c>
      <c r="P72" s="5">
        <v>170398.84000000003</v>
      </c>
      <c r="Q72" s="5">
        <v>440943.11</v>
      </c>
      <c r="R72" s="5">
        <v>280814.12</v>
      </c>
      <c r="S72" s="5">
        <v>259822.40000000002</v>
      </c>
      <c r="T72" s="5">
        <v>415859.17</v>
      </c>
      <c r="U72" s="5">
        <v>177642.74000000005</v>
      </c>
      <c r="V72" s="5">
        <v>739912.79</v>
      </c>
      <c r="W72" s="5">
        <v>52904.77</v>
      </c>
      <c r="X72" s="69">
        <v>180729.8065694792</v>
      </c>
      <c r="Y72" s="69">
        <v>424770.3749145788</v>
      </c>
      <c r="Z72" s="69">
        <v>178905.98815590455</v>
      </c>
      <c r="AA72" s="4">
        <f si="9" t="shared"/>
        <v>3394731.9496399625</v>
      </c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">
        <f si="10" t="shared"/>
        <v>0</v>
      </c>
      <c r="AO72" s="27"/>
      <c r="AP72" s="27"/>
      <c r="AQ72" s="42"/>
      <c r="AR72" s="42"/>
      <c r="AS72" s="42"/>
      <c r="AT72" s="42"/>
      <c r="AU72" s="27"/>
      <c r="AV72" s="27"/>
      <c r="AW72" s="13" t="s">
        <v>22</v>
      </c>
      <c r="AX72" s="41"/>
      <c r="AY72" s="41"/>
      <c r="AZ72" s="41"/>
      <c r="BA72" s="63">
        <f si="26" t="shared"/>
        <v>180729.8065694792</v>
      </c>
      <c r="BB72" s="63">
        <f si="27" t="shared"/>
        <v>424770.3749145788</v>
      </c>
      <c r="BC72" s="63">
        <f si="28" t="shared"/>
        <v>178905.98815590455</v>
      </c>
    </row>
    <row r="73" spans="1:55" x14ac:dyDescent="0.2">
      <c r="A73" s="63" t="str">
        <f si="24" t="shared"/>
        <v>СКБСЖРозницаWMНон-лайфСКБЖНСЖ_СИВ_НССтабильный курсРегулярнаяНовый</v>
      </c>
      <c r="B73" s="27" t="s">
        <v>4</v>
      </c>
      <c r="C73" s="1" t="str">
        <f>IFERROR(VLOOKUP(D73,Каналы!$B:$C,2,0),"")</f>
        <v>Розница</v>
      </c>
      <c r="D73" s="27" t="s">
        <v>6</v>
      </c>
      <c r="E73" s="1"/>
      <c r="F73" s="27"/>
      <c r="G73" s="27"/>
      <c r="H73" s="1" t="s">
        <v>30</v>
      </c>
      <c r="I73" s="27" t="s">
        <v>209</v>
      </c>
      <c r="J73" s="53"/>
      <c r="K73" s="27" t="s">
        <v>253</v>
      </c>
      <c r="L73" s="27" t="s">
        <v>198</v>
      </c>
      <c r="M73" s="27" t="s">
        <v>193</v>
      </c>
      <c r="N73" s="27" t="s">
        <v>29</v>
      </c>
      <c r="O73" s="5">
        <v>2185.64</v>
      </c>
      <c r="P73" s="5">
        <v>9965.7900000000009</v>
      </c>
      <c r="Q73" s="5"/>
      <c r="R73" s="5">
        <v>4084.37</v>
      </c>
      <c r="S73" s="5">
        <v>2473.14</v>
      </c>
      <c r="T73" s="5">
        <v>887.7</v>
      </c>
      <c r="U73" s="5">
        <v>2064.27</v>
      </c>
      <c r="V73" s="5">
        <v>251.74</v>
      </c>
      <c r="W73" s="5"/>
      <c r="X73" s="69">
        <v>0</v>
      </c>
      <c r="Y73" s="69">
        <v>0</v>
      </c>
      <c r="Z73" s="69">
        <v>0</v>
      </c>
      <c r="AA73" s="4">
        <f si="9" t="shared"/>
        <v>21912.65</v>
      </c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">
        <f si="10" t="shared"/>
        <v>0</v>
      </c>
      <c r="AO73" s="27"/>
      <c r="AP73" s="27"/>
      <c r="AQ73" s="42"/>
      <c r="AR73" s="42"/>
      <c r="AS73" s="42"/>
      <c r="AT73" s="42"/>
      <c r="AU73" s="27"/>
      <c r="AV73" s="27"/>
      <c r="AW73" s="13" t="s">
        <v>22</v>
      </c>
      <c r="AX73" s="41"/>
      <c r="AY73" s="41"/>
      <c r="AZ73" s="41"/>
      <c r="BA73" s="63">
        <f si="26" t="shared"/>
        <v>0</v>
      </c>
      <c r="BB73" s="63">
        <f si="27" t="shared"/>
        <v>0</v>
      </c>
      <c r="BC73" s="63">
        <f si="28" t="shared"/>
        <v>0</v>
      </c>
    </row>
    <row r="74" spans="1:55" x14ac:dyDescent="0.2">
      <c r="A74" s="63" t="str">
        <f si="24" t="shared"/>
        <v>СКБСЖРозницаWMНон-лайфСКБЖНСЖ_СИВ_НССтабильный курсРегулярнаяПролонгация</v>
      </c>
      <c r="B74" s="27" t="s">
        <v>4</v>
      </c>
      <c r="C74" s="1" t="str">
        <f>IFERROR(VLOOKUP(D74,Каналы!$B:$C,2,0),"")</f>
        <v>Розница</v>
      </c>
      <c r="D74" s="27" t="s">
        <v>6</v>
      </c>
      <c r="E74" s="1"/>
      <c r="F74" s="27"/>
      <c r="G74" s="27"/>
      <c r="H74" s="1" t="s">
        <v>30</v>
      </c>
      <c r="I74" s="27" t="s">
        <v>209</v>
      </c>
      <c r="J74" s="53"/>
      <c r="K74" s="27" t="s">
        <v>253</v>
      </c>
      <c r="L74" s="27" t="s">
        <v>198</v>
      </c>
      <c r="M74" s="27" t="s">
        <v>193</v>
      </c>
      <c r="N74" s="27" t="s">
        <v>48</v>
      </c>
      <c r="O74" s="5"/>
      <c r="P74" s="5">
        <v>15973.060000000001</v>
      </c>
      <c r="Q74" s="5">
        <v>6372.630000000001</v>
      </c>
      <c r="R74" s="5">
        <v>3613.16</v>
      </c>
      <c r="S74" s="5">
        <v>10069.76</v>
      </c>
      <c r="T74" s="5">
        <v>9340.0299999999988</v>
      </c>
      <c r="U74" s="5">
        <v>14510.000000000002</v>
      </c>
      <c r="V74" s="5">
        <v>19850.760000000009</v>
      </c>
      <c r="W74" s="5">
        <v>17414.940000000002</v>
      </c>
      <c r="X74" s="69">
        <v>410384.20632267115</v>
      </c>
      <c r="Y74" s="69">
        <v>371468.97492826136</v>
      </c>
      <c r="Z74" s="69">
        <v>845374.84701476141</v>
      </c>
      <c r="AA74" s="4">
        <f si="9" t="shared"/>
        <v>1724372.368265694</v>
      </c>
      <c r="AB74" s="41">
        <f>O74*0.5</f>
        <v>0</v>
      </c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">
        <f si="10" t="shared"/>
        <v>0</v>
      </c>
      <c r="AO74" s="27"/>
      <c r="AP74" s="27"/>
      <c r="AQ74" s="42"/>
      <c r="AR74" s="42"/>
      <c r="AS74" s="42"/>
      <c r="AT74" s="42"/>
      <c r="AU74" s="27"/>
      <c r="AV74" s="27"/>
      <c r="AW74" s="13" t="s">
        <v>22</v>
      </c>
      <c r="AX74" s="41"/>
      <c r="AY74" s="41"/>
      <c r="AZ74" s="41"/>
      <c r="BA74" s="63">
        <f si="26" t="shared"/>
        <v>410384.20632267115</v>
      </c>
      <c r="BB74" s="63">
        <f si="27" t="shared"/>
        <v>371468.97492826136</v>
      </c>
      <c r="BC74" s="63">
        <f si="28" t="shared"/>
        <v>845374.84701476141</v>
      </c>
    </row>
    <row r="75" spans="1:55" x14ac:dyDescent="0.2">
      <c r="A75" s="63" t="str">
        <f si="24" t="shared"/>
        <v>СКБСЖРозницаWMНон-лайфСКБЖНСЖ_СИВ_НССила процентаЕдиновременнаяНовый</v>
      </c>
      <c r="B75" s="27" t="s">
        <v>4</v>
      </c>
      <c r="C75" s="1" t="str">
        <f>IFERROR(VLOOKUP(D75,Каналы!$B:$C,2,0),"")</f>
        <v>Розница</v>
      </c>
      <c r="D75" s="65" t="s">
        <v>6</v>
      </c>
      <c r="E75" s="1"/>
      <c r="F75" s="27"/>
      <c r="G75" s="27"/>
      <c r="H75" s="1" t="s">
        <v>30</v>
      </c>
      <c r="I75" s="27" t="s">
        <v>209</v>
      </c>
      <c r="J75" s="53"/>
      <c r="K75" s="27" t="s">
        <v>253</v>
      </c>
      <c r="L75" s="27" t="s">
        <v>228</v>
      </c>
      <c r="M75" s="27" t="s">
        <v>194</v>
      </c>
      <c r="N75" s="27" t="s">
        <v>29</v>
      </c>
      <c r="O75" s="5"/>
      <c r="P75" s="5"/>
      <c r="Q75" s="5"/>
      <c r="R75" s="5"/>
      <c r="S75" s="5"/>
      <c r="T75" s="5"/>
      <c r="U75" s="5"/>
      <c r="V75" s="5">
        <v>17791.810000000001</v>
      </c>
      <c r="W75" s="5">
        <v>27122.420000000002</v>
      </c>
      <c r="X75" s="69">
        <v>281460.41793251125</v>
      </c>
      <c r="Y75" s="69">
        <v>169444.84961297305</v>
      </c>
      <c r="Z75" s="69">
        <v>149204.93006723255</v>
      </c>
      <c r="AA75" s="4">
        <f ref="AA75:AA138" si="29" t="shared">SUM(O75:Z75)</f>
        <v>645024.4276127168</v>
      </c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">
        <f ref="AN75:AN138" si="30" t="shared">SUM(AB75:AM75)</f>
        <v>0</v>
      </c>
      <c r="AO75" s="27"/>
      <c r="AP75" s="27"/>
      <c r="AQ75" s="42"/>
      <c r="AR75" s="42"/>
      <c r="AS75" s="42"/>
      <c r="AT75" s="42"/>
      <c r="AU75" s="27"/>
      <c r="AV75" s="27"/>
      <c r="AW75" s="13" t="s">
        <v>22</v>
      </c>
      <c r="AX75" s="41"/>
      <c r="AY75" s="41"/>
      <c r="AZ75" s="41"/>
      <c r="BA75" s="63">
        <f si="26" t="shared"/>
        <v>281460.41793251125</v>
      </c>
      <c r="BB75" s="63">
        <f si="27" t="shared"/>
        <v>169444.84961297305</v>
      </c>
      <c r="BC75" s="63">
        <f si="28" t="shared"/>
        <v>149204.93006723255</v>
      </c>
    </row>
    <row r="76" spans="1:55" x14ac:dyDescent="0.2">
      <c r="A76" s="63" t="str">
        <f si="24" t="shared"/>
        <v>СКБСЖУралсиб_УралсибЛайфУралсибИСЖ_УралсибВерное решениеЕдиновременнаяНовый</v>
      </c>
      <c r="B76" s="27" t="s">
        <v>4</v>
      </c>
      <c r="C76" s="1" t="str">
        <f>IFERROR(VLOOKUP(D76,Каналы!$B:$C,2,0),"")</f>
        <v>Уралсиб_</v>
      </c>
      <c r="D76" s="27" t="s">
        <v>205</v>
      </c>
      <c r="E76" s="1"/>
      <c r="F76" s="27"/>
      <c r="G76" s="27"/>
      <c r="H76" s="1" t="s">
        <v>1</v>
      </c>
      <c r="I76" s="27" t="s">
        <v>205</v>
      </c>
      <c r="J76" s="53"/>
      <c r="K76" s="27" t="s">
        <v>247</v>
      </c>
      <c r="L76" s="27" t="s">
        <v>233</v>
      </c>
      <c r="M76" s="27" t="s">
        <v>194</v>
      </c>
      <c r="N76" s="27" t="s">
        <v>29</v>
      </c>
      <c r="O76" s="5">
        <v>45539489.99000001</v>
      </c>
      <c r="P76" s="5">
        <v>50830397</v>
      </c>
      <c r="Q76" s="5">
        <v>30800558</v>
      </c>
      <c r="R76" s="5">
        <v>44427530</v>
      </c>
      <c r="S76" s="5">
        <v>32141234</v>
      </c>
      <c r="T76" s="5">
        <v>30905468</v>
      </c>
      <c r="U76" s="5">
        <v>11352350</v>
      </c>
      <c r="V76" s="5">
        <v>-5019691</v>
      </c>
      <c r="W76" s="5">
        <v>1500000</v>
      </c>
      <c r="X76" s="69">
        <v>3500000</v>
      </c>
      <c r="Y76" s="69">
        <v>18000000</v>
      </c>
      <c r="Z76" s="69">
        <v>18000000</v>
      </c>
      <c r="AA76" s="4">
        <f si="29" t="shared"/>
        <v>281977335.99000001</v>
      </c>
      <c r="AB76" s="41">
        <v>0</v>
      </c>
      <c r="AC76" s="41">
        <v>0</v>
      </c>
      <c r="AD76" s="41">
        <v>0</v>
      </c>
      <c r="AE76" s="41">
        <v>0</v>
      </c>
      <c r="AF76" s="41">
        <v>0</v>
      </c>
      <c r="AG76" s="41">
        <v>0</v>
      </c>
      <c r="AH76" s="41">
        <v>0</v>
      </c>
      <c r="AI76" s="41">
        <v>0</v>
      </c>
      <c r="AJ76" s="41">
        <v>0</v>
      </c>
      <c r="AK76" s="41">
        <v>0</v>
      </c>
      <c r="AL76" s="41">
        <v>0</v>
      </c>
      <c r="AM76" s="41">
        <v>0</v>
      </c>
      <c r="AN76" s="4">
        <f si="30" t="shared"/>
        <v>0</v>
      </c>
      <c r="AO76" s="27"/>
      <c r="AP76" s="27"/>
      <c r="AQ76" s="42"/>
      <c r="AR76" s="42"/>
      <c r="AS76" s="42"/>
      <c r="AT76" s="42"/>
      <c r="AU76" s="27"/>
      <c r="AV76" s="27"/>
      <c r="AW76" s="13" t="s">
        <v>266</v>
      </c>
      <c r="AX76" s="41">
        <v>3500000</v>
      </c>
      <c r="AY76" s="41">
        <v>18000000</v>
      </c>
      <c r="AZ76" s="41">
        <v>18000000</v>
      </c>
      <c r="BA76" s="63">
        <f si="26" t="shared"/>
        <v>0</v>
      </c>
      <c r="BB76" s="63">
        <f si="27" t="shared"/>
        <v>0</v>
      </c>
      <c r="BC76" s="63">
        <f si="28" t="shared"/>
        <v>0</v>
      </c>
    </row>
    <row r="77" spans="1:55" x14ac:dyDescent="0.2">
      <c r="A77" s="63" t="str">
        <f si="24" t="shared"/>
        <v>СКБСЖУралсиб_УралсибЛайфУралсибНСЖ_УралсибЛегкий стартРегулярнаяНовый</v>
      </c>
      <c r="B77" s="27" t="s">
        <v>4</v>
      </c>
      <c r="C77" s="1" t="str">
        <f>IFERROR(VLOOKUP(D77,Каналы!$B:$C,2,0),"")</f>
        <v>Уралсиб_</v>
      </c>
      <c r="D77" s="27" t="s">
        <v>205</v>
      </c>
      <c r="E77" s="1"/>
      <c r="F77" s="27"/>
      <c r="G77" s="27"/>
      <c r="H77" s="1" t="s">
        <v>1</v>
      </c>
      <c r="I77" s="27" t="s">
        <v>205</v>
      </c>
      <c r="J77" s="53"/>
      <c r="K77" s="27" t="s">
        <v>248</v>
      </c>
      <c r="L77" s="27" t="s">
        <v>235</v>
      </c>
      <c r="M77" s="27" t="s">
        <v>193</v>
      </c>
      <c r="N77" s="27" t="s">
        <v>29</v>
      </c>
      <c r="O77" s="5">
        <v>5161000</v>
      </c>
      <c r="P77" s="5">
        <v>5430000</v>
      </c>
      <c r="Q77" s="5">
        <v>30567141</v>
      </c>
      <c r="R77" s="5">
        <v>182645099</v>
      </c>
      <c r="S77" s="5">
        <v>128578411</v>
      </c>
      <c r="T77" s="5">
        <v>170568819</v>
      </c>
      <c r="U77" s="5">
        <v>376180767</v>
      </c>
      <c r="V77" s="5">
        <v>301890939</v>
      </c>
      <c r="W77" s="5">
        <v>243518456</v>
      </c>
      <c r="X77" s="69">
        <v>200000000</v>
      </c>
      <c r="Y77" s="69">
        <v>100000000</v>
      </c>
      <c r="Z77" s="69">
        <v>100000000</v>
      </c>
      <c r="AA77" s="4">
        <f si="29" t="shared"/>
        <v>1844540632</v>
      </c>
      <c r="AB77" s="41">
        <v>35000000</v>
      </c>
      <c r="AC77" s="41">
        <v>45000000</v>
      </c>
      <c r="AD77" s="41">
        <v>100000000</v>
      </c>
      <c r="AE77" s="41">
        <v>100000000</v>
      </c>
      <c r="AF77" s="41">
        <v>50000000</v>
      </c>
      <c r="AG77" s="41">
        <v>50000000</v>
      </c>
      <c r="AH77" s="41">
        <v>50000000</v>
      </c>
      <c r="AI77" s="41">
        <v>50000000</v>
      </c>
      <c r="AJ77" s="41">
        <v>50000000</v>
      </c>
      <c r="AK77" s="41">
        <v>50000000</v>
      </c>
      <c r="AL77" s="41">
        <v>50000000</v>
      </c>
      <c r="AM77" s="41">
        <v>50000000</v>
      </c>
      <c r="AN77" s="4">
        <f si="30" t="shared"/>
        <v>680000000</v>
      </c>
      <c r="AO77" s="27"/>
      <c r="AP77" s="27"/>
      <c r="AQ77" s="42"/>
      <c r="AR77" s="42"/>
      <c r="AS77" s="42"/>
      <c r="AT77" s="42"/>
      <c r="AU77" s="27"/>
      <c r="AV77" s="27"/>
      <c r="AW77" s="13" t="s">
        <v>278</v>
      </c>
      <c r="AX77" s="41">
        <v>100000000</v>
      </c>
      <c r="AY77" s="41">
        <v>100000000</v>
      </c>
      <c r="AZ77" s="41">
        <v>100000000</v>
      </c>
      <c r="BA77" s="63">
        <f si="26" t="shared"/>
        <v>100000000</v>
      </c>
      <c r="BB77" s="63">
        <f si="27" t="shared"/>
        <v>0</v>
      </c>
      <c r="BC77" s="63">
        <f si="28" t="shared"/>
        <v>0</v>
      </c>
    </row>
    <row r="78" spans="1:55" x14ac:dyDescent="0.2">
      <c r="A78" s="63" t="str">
        <f si="24" t="shared"/>
        <v>СКБСЖУралсиб_УралсибЛайфУралсибНСЖ_УралсибЛегкий стартРегулярнаяПролонгация</v>
      </c>
      <c r="B78" s="27" t="s">
        <v>4</v>
      </c>
      <c r="C78" s="1" t="str">
        <f>IFERROR(VLOOKUP(D78,Каналы!$B:$C,2,0),"")</f>
        <v>Уралсиб_</v>
      </c>
      <c r="D78" s="27" t="s">
        <v>205</v>
      </c>
      <c r="E78" s="1"/>
      <c r="F78" s="27"/>
      <c r="G78" s="27"/>
      <c r="H78" s="1" t="s">
        <v>1</v>
      </c>
      <c r="I78" s="27" t="s">
        <v>205</v>
      </c>
      <c r="J78" s="53"/>
      <c r="K78" s="27" t="s">
        <v>248</v>
      </c>
      <c r="L78" s="27" t="s">
        <v>235</v>
      </c>
      <c r="M78" s="27" t="s">
        <v>193</v>
      </c>
      <c r="N78" s="27" t="s">
        <v>48</v>
      </c>
      <c r="O78" s="5">
        <v>500000</v>
      </c>
      <c r="P78" s="5">
        <v>13959000</v>
      </c>
      <c r="Q78" s="5">
        <v>3857000</v>
      </c>
      <c r="R78" s="5">
        <v>8646000</v>
      </c>
      <c r="S78" s="5">
        <v>8308245</v>
      </c>
      <c r="T78" s="5">
        <v>19265000</v>
      </c>
      <c r="U78" s="5">
        <v>6968500</v>
      </c>
      <c r="V78" s="5">
        <v>20081500</v>
      </c>
      <c r="W78" s="5">
        <v>15880000</v>
      </c>
      <c r="X78" s="69">
        <v>14600000</v>
      </c>
      <c r="Y78" s="69">
        <v>14600000</v>
      </c>
      <c r="Z78" s="69">
        <v>14600000</v>
      </c>
      <c r="AA78" s="4">
        <f si="29" t="shared"/>
        <v>141265245</v>
      </c>
      <c r="AB78" s="41">
        <f>O78*0.7</f>
        <v>350000</v>
      </c>
      <c r="AC78" s="41">
        <f ref="AC78:AM78" si="31" t="shared">P78*0.7</f>
        <v>9771300</v>
      </c>
      <c r="AD78" s="41">
        <f si="31" t="shared"/>
        <v>2699900</v>
      </c>
      <c r="AE78" s="41">
        <f si="31" t="shared"/>
        <v>6052200</v>
      </c>
      <c r="AF78" s="41">
        <f si="31" t="shared"/>
        <v>5815771.5</v>
      </c>
      <c r="AG78" s="41">
        <f si="31" t="shared"/>
        <v>13485500</v>
      </c>
      <c r="AH78" s="41">
        <f si="31" t="shared"/>
        <v>4877950</v>
      </c>
      <c r="AI78" s="41">
        <f si="31" t="shared"/>
        <v>14057050</v>
      </c>
      <c r="AJ78" s="41">
        <f si="31" t="shared"/>
        <v>11116000</v>
      </c>
      <c r="AK78" s="41">
        <f si="31" t="shared"/>
        <v>10220000</v>
      </c>
      <c r="AL78" s="41">
        <f si="31" t="shared"/>
        <v>10220000</v>
      </c>
      <c r="AM78" s="41">
        <f si="31" t="shared"/>
        <v>10220000</v>
      </c>
      <c r="AN78" s="4">
        <f si="30" t="shared"/>
        <v>98885671.5</v>
      </c>
      <c r="AO78" s="27"/>
      <c r="AP78" s="27"/>
      <c r="AQ78" s="42"/>
      <c r="AR78" s="42"/>
      <c r="AS78" s="42"/>
      <c r="AT78" s="42"/>
      <c r="AU78" s="27"/>
      <c r="AV78" s="27"/>
      <c r="AW78" s="13" t="s">
        <v>267</v>
      </c>
      <c r="AX78" s="41"/>
      <c r="AY78" s="41"/>
      <c r="AZ78" s="41"/>
      <c r="BA78" s="63">
        <f si="26" t="shared"/>
        <v>14600000</v>
      </c>
      <c r="BB78" s="63">
        <f si="27" t="shared"/>
        <v>14600000</v>
      </c>
      <c r="BC78" s="63">
        <f si="28" t="shared"/>
        <v>14600000</v>
      </c>
    </row>
    <row r="79" spans="1:55" x14ac:dyDescent="0.2">
      <c r="A79" s="63" t="str">
        <f si="24" t="shared"/>
        <v>СКБСЖУралсиб_УралсибЛайфУралсибНСЖ_УралсибПрочее (Уралсиб)ЕдиновременнаяНовый</v>
      </c>
      <c r="B79" s="27" t="s">
        <v>4</v>
      </c>
      <c r="C79" s="1" t="str">
        <f>IFERROR(VLOOKUP(D79,Каналы!$B:$C,2,0),"")</f>
        <v>Уралсиб_</v>
      </c>
      <c r="D79" s="27" t="s">
        <v>205</v>
      </c>
      <c r="E79" s="1"/>
      <c r="F79" s="27"/>
      <c r="G79" s="27"/>
      <c r="H79" s="1" t="s">
        <v>1</v>
      </c>
      <c r="I79" s="27" t="s">
        <v>205</v>
      </c>
      <c r="J79" s="53"/>
      <c r="K79" s="27" t="s">
        <v>248</v>
      </c>
      <c r="L79" s="27" t="s">
        <v>236</v>
      </c>
      <c r="M79" s="27" t="s">
        <v>194</v>
      </c>
      <c r="N79" s="27" t="s">
        <v>29</v>
      </c>
      <c r="O79" s="5"/>
      <c r="P79" s="5"/>
      <c r="Q79" s="5"/>
      <c r="R79" s="5"/>
      <c r="S79" s="5"/>
      <c r="T79" s="5"/>
      <c r="U79" s="5"/>
      <c r="V79" s="5">
        <v>-100000</v>
      </c>
      <c r="W79" s="5"/>
      <c r="X79" s="69"/>
      <c r="Y79" s="69"/>
      <c r="Z79" s="69"/>
      <c r="AA79" s="4">
        <f si="29" t="shared"/>
        <v>-100000</v>
      </c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">
        <f si="30" t="shared"/>
        <v>0</v>
      </c>
      <c r="AO79" s="27"/>
      <c r="AP79" s="27"/>
      <c r="AQ79" s="42"/>
      <c r="AR79" s="42"/>
      <c r="AS79" s="42"/>
      <c r="AT79" s="42"/>
      <c r="AU79" s="27"/>
      <c r="AV79" s="27"/>
      <c r="AW79" s="13">
        <v>0</v>
      </c>
      <c r="AX79" s="41"/>
      <c r="AY79" s="41"/>
      <c r="AZ79" s="41"/>
      <c r="BA79" s="63">
        <f si="26" t="shared"/>
        <v>0</v>
      </c>
      <c r="BB79" s="63">
        <f si="27" t="shared"/>
        <v>0</v>
      </c>
      <c r="BC79" s="63">
        <f si="28" t="shared"/>
        <v>0</v>
      </c>
    </row>
    <row r="80" spans="1:55" x14ac:dyDescent="0.2">
      <c r="A80" s="63" t="str">
        <f si="24" t="shared"/>
        <v>СКБСЖУралсиб_УралсибЛайфУралсибНСЖ_УралсибПрочее (Уралсиб)РегулярнаяПролонгация</v>
      </c>
      <c r="B80" s="27" t="s">
        <v>4</v>
      </c>
      <c r="C80" s="1" t="str">
        <f>IFERROR(VLOOKUP(D80,Каналы!$B:$C,2,0),"")</f>
        <v>Уралсиб_</v>
      </c>
      <c r="D80" s="27" t="s">
        <v>205</v>
      </c>
      <c r="E80" s="1"/>
      <c r="F80" s="27"/>
      <c r="G80" s="27"/>
      <c r="H80" s="1" t="s">
        <v>1</v>
      </c>
      <c r="I80" s="27" t="s">
        <v>205</v>
      </c>
      <c r="J80" s="53"/>
      <c r="K80" s="27" t="s">
        <v>248</v>
      </c>
      <c r="L80" s="27" t="s">
        <v>236</v>
      </c>
      <c r="M80" s="27" t="s">
        <v>193</v>
      </c>
      <c r="N80" s="27" t="s">
        <v>48</v>
      </c>
      <c r="O80" s="5">
        <v>4102937.6100000003</v>
      </c>
      <c r="P80" s="5">
        <v>9117569.7300000004</v>
      </c>
      <c r="Q80" s="5">
        <v>7554226.96</v>
      </c>
      <c r="R80" s="5">
        <v>4823647.2299999986</v>
      </c>
      <c r="S80" s="5">
        <v>3818611.6400000006</v>
      </c>
      <c r="T80" s="5">
        <v>7382926.9800000004</v>
      </c>
      <c r="U80" s="5">
        <v>4916093.7100000009</v>
      </c>
      <c r="V80" s="5">
        <v>7302852.1899999995</v>
      </c>
      <c r="W80" s="5">
        <v>8463386.3800000008</v>
      </c>
      <c r="X80" s="69">
        <v>5000000</v>
      </c>
      <c r="Y80" s="69">
        <v>7300000</v>
      </c>
      <c r="Z80" s="69">
        <v>8500000</v>
      </c>
      <c r="AA80" s="4">
        <f si="29" t="shared"/>
        <v>78282252.430000007</v>
      </c>
      <c r="AB80" s="41">
        <f>O80*0.7</f>
        <v>2872056.327</v>
      </c>
      <c r="AC80" s="41">
        <f ref="AC80:AM80" si="32" t="shared">P80*0.7</f>
        <v>6382298.8109999998</v>
      </c>
      <c r="AD80" s="41">
        <f si="32" t="shared"/>
        <v>5287958.8719999995</v>
      </c>
      <c r="AE80" s="41">
        <f si="32" t="shared"/>
        <v>3376553.0609999988</v>
      </c>
      <c r="AF80" s="41">
        <f si="32" t="shared"/>
        <v>2673028.148</v>
      </c>
      <c r="AG80" s="41">
        <f si="32" t="shared"/>
        <v>5168048.8859999999</v>
      </c>
      <c r="AH80" s="41">
        <f si="32" t="shared"/>
        <v>3441265.5970000005</v>
      </c>
      <c r="AI80" s="41">
        <f si="32" t="shared"/>
        <v>5111996.5329999989</v>
      </c>
      <c r="AJ80" s="41">
        <f si="32" t="shared"/>
        <v>5924370.466</v>
      </c>
      <c r="AK80" s="41">
        <f si="32" t="shared"/>
        <v>3500000</v>
      </c>
      <c r="AL80" s="41">
        <f si="32" t="shared"/>
        <v>5110000</v>
      </c>
      <c r="AM80" s="41">
        <f si="32" t="shared"/>
        <v>5950000</v>
      </c>
      <c r="AN80" s="4">
        <f si="30" t="shared"/>
        <v>54797576.70099999</v>
      </c>
      <c r="AO80" s="27"/>
      <c r="AP80" s="27"/>
      <c r="AQ80" s="42"/>
      <c r="AR80" s="42"/>
      <c r="AS80" s="42"/>
      <c r="AT80" s="42"/>
      <c r="AU80" s="27"/>
      <c r="AV80" s="27"/>
      <c r="AW80" s="13" t="s">
        <v>267</v>
      </c>
      <c r="AX80" s="41"/>
      <c r="AY80" s="41"/>
      <c r="AZ80" s="41"/>
      <c r="BA80" s="63">
        <f si="26" t="shared"/>
        <v>5000000</v>
      </c>
      <c r="BB80" s="63">
        <f si="27" t="shared"/>
        <v>7300000</v>
      </c>
      <c r="BC80" s="63">
        <f si="28" t="shared"/>
        <v>8500000</v>
      </c>
    </row>
    <row r="81" spans="1:55" x14ac:dyDescent="0.2">
      <c r="A81" s="63" t="str">
        <f si="24" t="shared"/>
        <v>СКБСЖУралсиб_УралсибЛайфУралсибНСЖ_УралсибСтабильный доходЕдиновременнаяНовый</v>
      </c>
      <c r="B81" s="27" t="s">
        <v>4</v>
      </c>
      <c r="C81" s="1" t="str">
        <f>IFERROR(VLOOKUP(D81,Каналы!$B:$C,2,0),"")</f>
        <v>Уралсиб_</v>
      </c>
      <c r="D81" s="27" t="s">
        <v>205</v>
      </c>
      <c r="E81" s="1"/>
      <c r="F81" s="27"/>
      <c r="G81" s="27"/>
      <c r="H81" s="1" t="s">
        <v>1</v>
      </c>
      <c r="I81" s="27" t="s">
        <v>205</v>
      </c>
      <c r="J81" s="53"/>
      <c r="K81" s="27" t="s">
        <v>248</v>
      </c>
      <c r="L81" s="27" t="s">
        <v>237</v>
      </c>
      <c r="M81" s="27" t="s">
        <v>194</v>
      </c>
      <c r="N81" s="27" t="s">
        <v>29</v>
      </c>
      <c r="O81" s="5">
        <v>184234362</v>
      </c>
      <c r="P81" s="5">
        <v>71951023</v>
      </c>
      <c r="Q81" s="5">
        <v>41510107</v>
      </c>
      <c r="R81" s="5">
        <v>31571337</v>
      </c>
      <c r="S81" s="5">
        <v>42271839</v>
      </c>
      <c r="T81" s="5">
        <v>59661440</v>
      </c>
      <c r="U81" s="5">
        <v>77644727</v>
      </c>
      <c r="V81" s="5">
        <v>36824903</v>
      </c>
      <c r="W81" s="5">
        <v>40012536</v>
      </c>
      <c r="X81" s="69">
        <v>50000000</v>
      </c>
      <c r="Y81" s="69">
        <v>50000000</v>
      </c>
      <c r="Z81" s="69">
        <v>50000000</v>
      </c>
      <c r="AA81" s="4">
        <f si="29" t="shared"/>
        <v>735682274</v>
      </c>
      <c r="AB81" s="41">
        <v>30000000</v>
      </c>
      <c r="AC81" s="41">
        <v>40000000</v>
      </c>
      <c r="AD81" s="41">
        <v>40000000</v>
      </c>
      <c r="AE81" s="41">
        <v>40000000</v>
      </c>
      <c r="AF81" s="41">
        <v>30000000</v>
      </c>
      <c r="AG81" s="41">
        <v>40000000</v>
      </c>
      <c r="AH81" s="41">
        <v>40000000</v>
      </c>
      <c r="AI81" s="41">
        <v>40000000</v>
      </c>
      <c r="AJ81" s="41">
        <v>50000000</v>
      </c>
      <c r="AK81" s="41">
        <v>50000000</v>
      </c>
      <c r="AL81" s="41">
        <v>50000000</v>
      </c>
      <c r="AM81" s="41">
        <v>50000000</v>
      </c>
      <c r="AN81" s="4">
        <f si="30" t="shared"/>
        <v>500000000</v>
      </c>
      <c r="AO81" s="27"/>
      <c r="AP81" s="27"/>
      <c r="AQ81" s="42"/>
      <c r="AR81" s="42"/>
      <c r="AS81" s="42"/>
      <c r="AT81" s="42"/>
      <c r="AU81" s="27"/>
      <c r="AV81" s="27"/>
      <c r="AW81" s="13" t="s">
        <v>267</v>
      </c>
      <c r="AX81" s="41">
        <v>40000000</v>
      </c>
      <c r="AY81" s="41">
        <v>40000000</v>
      </c>
      <c r="AZ81" s="41">
        <v>40000000</v>
      </c>
      <c r="BA81" s="63">
        <f si="26" t="shared"/>
        <v>10000000</v>
      </c>
      <c r="BB81" s="63">
        <f si="27" t="shared"/>
        <v>10000000</v>
      </c>
      <c r="BC81" s="63">
        <f si="28" t="shared"/>
        <v>10000000</v>
      </c>
    </row>
    <row r="82" spans="1:55" x14ac:dyDescent="0.2">
      <c r="A82" s="63" t="str">
        <f si="24" t="shared"/>
        <v>СКБСЖУралсиб_УралсибЛайфУралсибНСЖ_УралсибСтабильный доходРегулярнаяПролонгация</v>
      </c>
      <c r="B82" s="27" t="s">
        <v>4</v>
      </c>
      <c r="C82" s="1" t="str">
        <f>IFERROR(VLOOKUP(D82,Каналы!$B:$C,2,0),"")</f>
        <v>Уралсиб_</v>
      </c>
      <c r="D82" s="27" t="s">
        <v>205</v>
      </c>
      <c r="E82" s="1"/>
      <c r="F82" s="27"/>
      <c r="G82" s="27"/>
      <c r="H82" s="1" t="s">
        <v>1</v>
      </c>
      <c r="I82" s="27" t="s">
        <v>205</v>
      </c>
      <c r="J82" s="53"/>
      <c r="K82" s="27" t="s">
        <v>248</v>
      </c>
      <c r="L82" s="27" t="s">
        <v>237</v>
      </c>
      <c r="M82" s="27" t="s">
        <v>193</v>
      </c>
      <c r="N82" s="27" t="s">
        <v>48</v>
      </c>
      <c r="O82" s="5"/>
      <c r="P82" s="5"/>
      <c r="Q82" s="5"/>
      <c r="R82" s="5"/>
      <c r="S82" s="5"/>
      <c r="T82" s="5"/>
      <c r="U82" s="5"/>
      <c r="V82" s="5"/>
      <c r="W82" s="5"/>
      <c r="X82" s="69"/>
      <c r="Y82" s="69"/>
      <c r="Z82" s="69"/>
      <c r="AA82" s="4">
        <f si="29" t="shared"/>
        <v>0</v>
      </c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">
        <f si="30" t="shared"/>
        <v>0</v>
      </c>
      <c r="AO82" s="27"/>
      <c r="AP82" s="27"/>
      <c r="AQ82" s="42"/>
      <c r="AR82" s="42"/>
      <c r="AS82" s="42"/>
      <c r="AT82" s="42"/>
      <c r="AU82" s="27"/>
      <c r="AV82" s="27"/>
      <c r="AW82" s="13">
        <v>0</v>
      </c>
      <c r="AX82" s="41"/>
      <c r="AY82" s="41"/>
      <c r="AZ82" s="41"/>
      <c r="BA82" s="63">
        <f si="26" t="shared"/>
        <v>0</v>
      </c>
      <c r="BB82" s="63">
        <f si="27" t="shared"/>
        <v>0</v>
      </c>
      <c r="BC82" s="63">
        <f si="28" t="shared"/>
        <v>0</v>
      </c>
    </row>
    <row r="83" spans="1:55" x14ac:dyDescent="0.2">
      <c r="A83" s="63" t="str">
        <f si="24" t="shared"/>
        <v>СКБСЖУралсиб_УралсибНон-лайфУралсибКСЖ_УралсибКСЖ (Уралсиб)ЕдиновременнаяНовый</v>
      </c>
      <c r="B83" s="27" t="s">
        <v>4</v>
      </c>
      <c r="C83" s="1" t="str">
        <f>IFERROR(VLOOKUP(D83,Каналы!$B:$C,2,0),"")</f>
        <v>Уралсиб_</v>
      </c>
      <c r="D83" s="27" t="s">
        <v>205</v>
      </c>
      <c r="E83" s="1"/>
      <c r="F83" s="27"/>
      <c r="G83" s="27"/>
      <c r="H83" s="1" t="s">
        <v>30</v>
      </c>
      <c r="I83" s="27" t="s">
        <v>205</v>
      </c>
      <c r="J83" s="53"/>
      <c r="K83" s="27" t="s">
        <v>254</v>
      </c>
      <c r="L83" s="27" t="s">
        <v>238</v>
      </c>
      <c r="M83" s="27" t="s">
        <v>194</v>
      </c>
      <c r="N83" s="27" t="s">
        <v>29</v>
      </c>
      <c r="O83" s="5">
        <v>29598275</v>
      </c>
      <c r="P83" s="5">
        <v>43318615.14000009</v>
      </c>
      <c r="Q83" s="5">
        <v>41185353.330000013</v>
      </c>
      <c r="R83" s="5">
        <v>31711438.149999999</v>
      </c>
      <c r="S83" s="5">
        <v>37241320.68000003</v>
      </c>
      <c r="T83" s="5">
        <v>39942753.100000031</v>
      </c>
      <c r="U83" s="5">
        <v>31785967.920000006</v>
      </c>
      <c r="V83" s="5">
        <v>47125237.569999985</v>
      </c>
      <c r="W83" s="5">
        <v>37955581.589999996</v>
      </c>
      <c r="X83" s="69">
        <v>40000000</v>
      </c>
      <c r="Y83" s="69">
        <v>40000000</v>
      </c>
      <c r="Z83" s="69">
        <v>40000000</v>
      </c>
      <c r="AA83" s="4">
        <f si="29" t="shared"/>
        <v>459864542.48000014</v>
      </c>
      <c r="AB83" s="41">
        <v>5000000</v>
      </c>
      <c r="AC83" s="41">
        <v>7000000</v>
      </c>
      <c r="AD83" s="41">
        <v>10000000</v>
      </c>
      <c r="AE83" s="41">
        <v>10000000</v>
      </c>
      <c r="AF83" s="41">
        <v>10000000</v>
      </c>
      <c r="AG83" s="41">
        <v>10000000</v>
      </c>
      <c r="AH83" s="41">
        <v>10000000</v>
      </c>
      <c r="AI83" s="41">
        <v>10000000</v>
      </c>
      <c r="AJ83" s="41">
        <v>10000000</v>
      </c>
      <c r="AK83" s="41">
        <v>10000000</v>
      </c>
      <c r="AL83" s="41">
        <v>10000000</v>
      </c>
      <c r="AM83" s="41">
        <v>10000000</v>
      </c>
      <c r="AN83" s="4">
        <f si="30" t="shared"/>
        <v>112000000</v>
      </c>
      <c r="AO83" s="27"/>
      <c r="AP83" s="27"/>
      <c r="AQ83" s="42"/>
      <c r="AR83" s="42"/>
      <c r="AS83" s="42"/>
      <c r="AT83" s="42"/>
      <c r="AU83" s="27"/>
      <c r="AV83" s="27"/>
      <c r="AW83" s="13" t="s">
        <v>267</v>
      </c>
      <c r="AX83" s="41">
        <v>6000000</v>
      </c>
      <c r="AY83" s="41">
        <v>6000000</v>
      </c>
      <c r="AZ83" s="41">
        <v>6000000</v>
      </c>
      <c r="BA83" s="63">
        <f si="26" t="shared"/>
        <v>34000000</v>
      </c>
      <c r="BB83" s="63">
        <f si="27" t="shared"/>
        <v>34000000</v>
      </c>
      <c r="BC83" s="63">
        <f si="28" t="shared"/>
        <v>34000000</v>
      </c>
    </row>
    <row r="84" spans="1:55" x14ac:dyDescent="0.2">
      <c r="A84" s="63" t="str">
        <f si="24" t="shared"/>
        <v>СКБСЖУралсиб_УралсибНон-лайфУралсибКСЖ_УралсибКСЖ (Уралсиб)РегулярнаяНовый</v>
      </c>
      <c r="B84" s="27" t="s">
        <v>4</v>
      </c>
      <c r="C84" s="1" t="str">
        <f>IFERROR(VLOOKUP(D84,Каналы!$B:$C,2,0),"")</f>
        <v>Уралсиб_</v>
      </c>
      <c r="D84" s="27" t="s">
        <v>205</v>
      </c>
      <c r="E84" s="1"/>
      <c r="F84" s="27"/>
      <c r="G84" s="27"/>
      <c r="H84" s="1" t="s">
        <v>30</v>
      </c>
      <c r="I84" s="27" t="s">
        <v>205</v>
      </c>
      <c r="J84" s="53"/>
      <c r="K84" s="27" t="s">
        <v>254</v>
      </c>
      <c r="L84" s="27" t="s">
        <v>238</v>
      </c>
      <c r="M84" s="27" t="s">
        <v>193</v>
      </c>
      <c r="N84" s="27" t="s">
        <v>29</v>
      </c>
      <c r="O84" s="5">
        <v>-396087.61000000127</v>
      </c>
      <c r="P84" s="5">
        <v>-465260.79999999999</v>
      </c>
      <c r="Q84" s="5">
        <v>-680380.12</v>
      </c>
      <c r="R84" s="5">
        <v>-412377.15</v>
      </c>
      <c r="S84" s="5">
        <v>-427468.39</v>
      </c>
      <c r="T84" s="5">
        <v>-333015.81</v>
      </c>
      <c r="U84" s="5">
        <v>-220919.52</v>
      </c>
      <c r="V84" s="5">
        <v>-332936.25</v>
      </c>
      <c r="W84" s="5">
        <v>-340227.61</v>
      </c>
      <c r="X84" s="69"/>
      <c r="Y84" s="69"/>
      <c r="Z84" s="69"/>
      <c r="AA84" s="4">
        <f si="29" t="shared"/>
        <v>-3608673.2600000012</v>
      </c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">
        <f si="30" t="shared"/>
        <v>0</v>
      </c>
      <c r="AO84" s="27"/>
      <c r="AP84" s="27"/>
      <c r="AQ84" s="42"/>
      <c r="AR84" s="42"/>
      <c r="AS84" s="42"/>
      <c r="AT84" s="42"/>
      <c r="AU84" s="27"/>
      <c r="AV84" s="27"/>
      <c r="AW84" s="13">
        <v>0</v>
      </c>
      <c r="AX84" s="41"/>
      <c r="AY84" s="41"/>
      <c r="AZ84" s="41"/>
      <c r="BA84" s="63">
        <f si="26" t="shared"/>
        <v>0</v>
      </c>
      <c r="BB84" s="63">
        <f si="27" t="shared"/>
        <v>0</v>
      </c>
      <c r="BC84" s="63">
        <f si="28" t="shared"/>
        <v>0</v>
      </c>
    </row>
    <row r="85" spans="1:55" x14ac:dyDescent="0.2">
      <c r="A85" s="63" t="str">
        <f si="24" t="shared"/>
        <v>СКБСЖУралсиб_УралсибНон-лайфУралсибКСЖ_УралсибКСЖ (Уралсиб)РегулярнаяПролонгация</v>
      </c>
      <c r="B85" s="27" t="s">
        <v>4</v>
      </c>
      <c r="C85" s="1" t="str">
        <f>IFERROR(VLOOKUP(D85,Каналы!$B:$C,2,0),"")</f>
        <v>Уралсиб_</v>
      </c>
      <c r="D85" s="27" t="s">
        <v>205</v>
      </c>
      <c r="E85" s="1"/>
      <c r="F85" s="27"/>
      <c r="G85" s="27"/>
      <c r="H85" s="1" t="s">
        <v>30</v>
      </c>
      <c r="I85" s="27" t="s">
        <v>205</v>
      </c>
      <c r="J85" s="53"/>
      <c r="K85" s="27" t="s">
        <v>254</v>
      </c>
      <c r="L85" s="27" t="s">
        <v>238</v>
      </c>
      <c r="M85" s="27" t="s">
        <v>193</v>
      </c>
      <c r="N85" s="27" t="s">
        <v>48</v>
      </c>
      <c r="O85" s="5"/>
      <c r="P85" s="5"/>
      <c r="Q85" s="5"/>
      <c r="R85" s="5"/>
      <c r="S85" s="5"/>
      <c r="T85" s="5"/>
      <c r="U85" s="5"/>
      <c r="V85" s="5"/>
      <c r="W85" s="5"/>
      <c r="X85" s="69">
        <v>0</v>
      </c>
      <c r="Y85" s="69">
        <v>0</v>
      </c>
      <c r="Z85" s="69">
        <v>0</v>
      </c>
      <c r="AA85" s="4">
        <f si="29" t="shared"/>
        <v>0</v>
      </c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">
        <f si="30" t="shared"/>
        <v>0</v>
      </c>
      <c r="AO85" s="27"/>
      <c r="AP85" s="27"/>
      <c r="AQ85" s="42"/>
      <c r="AR85" s="42"/>
      <c r="AS85" s="42"/>
      <c r="AT85" s="42"/>
      <c r="AU85" s="27"/>
      <c r="AV85" s="27"/>
      <c r="AW85" s="13" t="s">
        <v>273</v>
      </c>
      <c r="AX85" s="41">
        <v>-12652532.720478892</v>
      </c>
      <c r="AY85" s="41">
        <v>-12488361.394473061</v>
      </c>
      <c r="AZ85" s="41">
        <v>-12294950.513655204</v>
      </c>
      <c r="BA85" s="63">
        <f si="26" t="shared"/>
        <v>12652532.720478892</v>
      </c>
      <c r="BB85" s="63">
        <f si="27" t="shared"/>
        <v>12488361.394473061</v>
      </c>
      <c r="BC85" s="63">
        <f si="28" t="shared"/>
        <v>12294950.513655204</v>
      </c>
    </row>
    <row r="86" spans="1:55" x14ac:dyDescent="0.2">
      <c r="A86" s="63" t="str">
        <f si="24" t="shared"/>
        <v>СКБСЖУралсиб_УралсибНон-лайфУралсибКСЖ_УралсибПрочее (Уралсиб)ЕдиновременнаяНовый</v>
      </c>
      <c r="B86" s="27" t="s">
        <v>4</v>
      </c>
      <c r="C86" s="1" t="str">
        <f>IFERROR(VLOOKUP(D86,Каналы!$B:$C,2,0),"")</f>
        <v>Уралсиб_</v>
      </c>
      <c r="D86" s="27" t="s">
        <v>205</v>
      </c>
      <c r="E86" s="1"/>
      <c r="F86" s="27"/>
      <c r="G86" s="27"/>
      <c r="H86" s="1" t="s">
        <v>30</v>
      </c>
      <c r="I86" s="27" t="s">
        <v>205</v>
      </c>
      <c r="J86" s="53"/>
      <c r="K86" s="27" t="s">
        <v>254</v>
      </c>
      <c r="L86" s="27" t="s">
        <v>236</v>
      </c>
      <c r="M86" s="27" t="s">
        <v>194</v>
      </c>
      <c r="N86" s="27" t="s">
        <v>29</v>
      </c>
      <c r="O86" s="5">
        <v>3344921.9799999995</v>
      </c>
      <c r="P86" s="5">
        <v>3374072.41</v>
      </c>
      <c r="Q86" s="5">
        <v>3535166.62</v>
      </c>
      <c r="R86" s="5">
        <v>3550980.32</v>
      </c>
      <c r="S86" s="5">
        <v>3910022.57</v>
      </c>
      <c r="T86" s="5">
        <v>3994493.98</v>
      </c>
      <c r="U86" s="5">
        <v>4234945.2700000005</v>
      </c>
      <c r="V86" s="5">
        <v>4395425.1400000006</v>
      </c>
      <c r="W86" s="5">
        <v>4066721.2200000007</v>
      </c>
      <c r="X86" s="69">
        <v>4000000</v>
      </c>
      <c r="Y86" s="69">
        <v>4000000</v>
      </c>
      <c r="Z86" s="69">
        <v>4000000</v>
      </c>
      <c r="AA86" s="4">
        <f si="29" t="shared"/>
        <v>46406749.509999998</v>
      </c>
      <c r="AB86" s="41">
        <v>3000000</v>
      </c>
      <c r="AC86" s="41">
        <v>3000000</v>
      </c>
      <c r="AD86" s="41">
        <v>3500000</v>
      </c>
      <c r="AE86" s="41">
        <v>3000000</v>
      </c>
      <c r="AF86" s="41">
        <v>3000000</v>
      </c>
      <c r="AG86" s="41">
        <v>3500000</v>
      </c>
      <c r="AH86" s="41">
        <v>3500000</v>
      </c>
      <c r="AI86" s="41">
        <v>3500000</v>
      </c>
      <c r="AJ86" s="41">
        <v>4000000</v>
      </c>
      <c r="AK86" s="41">
        <v>4000000</v>
      </c>
      <c r="AL86" s="41">
        <v>4000000</v>
      </c>
      <c r="AM86" s="41">
        <v>4000000</v>
      </c>
      <c r="AN86" s="4">
        <f si="30" t="shared"/>
        <v>42000000</v>
      </c>
      <c r="AO86" s="27"/>
      <c r="AP86" s="27"/>
      <c r="AQ86" s="42"/>
      <c r="AR86" s="42"/>
      <c r="AS86" s="42"/>
      <c r="AT86" s="42"/>
      <c r="AU86" s="27"/>
      <c r="AV86" s="27"/>
      <c r="AW86" s="13" t="s">
        <v>267</v>
      </c>
      <c r="AX86" s="41">
        <v>3000000</v>
      </c>
      <c r="AY86" s="41">
        <v>3000000</v>
      </c>
      <c r="AZ86" s="41">
        <v>3000000</v>
      </c>
      <c r="BA86" s="63">
        <f si="26" t="shared"/>
        <v>1000000</v>
      </c>
      <c r="BB86" s="63">
        <f si="27" t="shared"/>
        <v>1000000</v>
      </c>
      <c r="BC86" s="63">
        <f si="28" t="shared"/>
        <v>1000000</v>
      </c>
    </row>
    <row r="87" spans="1:55" x14ac:dyDescent="0.2">
      <c r="A87" s="63" t="str">
        <f si="24" t="shared"/>
        <v>СКБСЖУралсиб_УралсибНон-лайфУралсибПрочее_УралсибПрочее (Уралсиб)РегулярнаяПролонгация</v>
      </c>
      <c r="B87" s="27" t="s">
        <v>4</v>
      </c>
      <c r="C87" s="1" t="str">
        <f>IFERROR(VLOOKUP(D87,Каналы!$B:$C,2,0),"")</f>
        <v>Уралсиб_</v>
      </c>
      <c r="D87" s="27" t="s">
        <v>205</v>
      </c>
      <c r="E87" s="1"/>
      <c r="F87" s="27"/>
      <c r="G87" s="27"/>
      <c r="H87" s="1" t="s">
        <v>30</v>
      </c>
      <c r="I87" s="27" t="s">
        <v>205</v>
      </c>
      <c r="J87" s="53"/>
      <c r="K87" s="27" t="s">
        <v>255</v>
      </c>
      <c r="L87" s="27" t="s">
        <v>236</v>
      </c>
      <c r="M87" s="27" t="s">
        <v>193</v>
      </c>
      <c r="N87" s="27" t="s">
        <v>48</v>
      </c>
      <c r="O87" s="5">
        <v>5914</v>
      </c>
      <c r="P87" s="5">
        <v>18703.260000000002</v>
      </c>
      <c r="Q87" s="5">
        <v>21062</v>
      </c>
      <c r="R87" s="5">
        <v>9033</v>
      </c>
      <c r="S87" s="5">
        <v>-4998</v>
      </c>
      <c r="T87" s="5">
        <v>8023</v>
      </c>
      <c r="U87" s="5">
        <v>7745.66</v>
      </c>
      <c r="V87" s="5">
        <v>7951.42</v>
      </c>
      <c r="W87" s="5">
        <v>7546.99</v>
      </c>
      <c r="X87" s="69">
        <v>8000</v>
      </c>
      <c r="Y87" s="69">
        <v>8000</v>
      </c>
      <c r="Z87" s="69">
        <v>8000</v>
      </c>
      <c r="AA87" s="4">
        <f si="29" t="shared"/>
        <v>104981.33</v>
      </c>
      <c r="AB87" s="41">
        <f>O87*0.6</f>
        <v>3548.4</v>
      </c>
      <c r="AC87" s="41">
        <f ref="AC87:AM87" si="33" t="shared">P87*0.6</f>
        <v>11221.956</v>
      </c>
      <c r="AD87" s="41">
        <f si="33" t="shared"/>
        <v>12637.199999999999</v>
      </c>
      <c r="AE87" s="41">
        <f si="33" t="shared"/>
        <v>5419.8</v>
      </c>
      <c r="AF87" s="41">
        <f si="33" t="shared"/>
        <v>-2998.7999999999997</v>
      </c>
      <c r="AG87" s="41">
        <f si="33" t="shared"/>
        <v>4813.8</v>
      </c>
      <c r="AH87" s="41">
        <f si="33" t="shared"/>
        <v>4647.3959999999997</v>
      </c>
      <c r="AI87" s="41">
        <f si="33" t="shared"/>
        <v>4770.8519999999999</v>
      </c>
      <c r="AJ87" s="41">
        <f si="33" t="shared"/>
        <v>4528.1939999999995</v>
      </c>
      <c r="AK87" s="41">
        <f si="33" t="shared"/>
        <v>4800</v>
      </c>
      <c r="AL87" s="41">
        <f si="33" t="shared"/>
        <v>4800</v>
      </c>
      <c r="AM87" s="41">
        <f si="33" t="shared"/>
        <v>4800</v>
      </c>
      <c r="AN87" s="4">
        <f si="30" t="shared"/>
        <v>62988.797999999995</v>
      </c>
      <c r="AO87" s="27"/>
      <c r="AP87" s="27"/>
      <c r="AQ87" s="42"/>
      <c r="AR87" s="42"/>
      <c r="AS87" s="42"/>
      <c r="AT87" s="42"/>
      <c r="AU87" s="27"/>
      <c r="AV87" s="27"/>
      <c r="AW87" s="13" t="s">
        <v>267</v>
      </c>
      <c r="AX87" s="41"/>
      <c r="AY87" s="41"/>
      <c r="AZ87" s="41"/>
      <c r="BA87" s="63">
        <f si="26" t="shared"/>
        <v>8000</v>
      </c>
      <c r="BB87" s="63">
        <f si="27" t="shared"/>
        <v>8000</v>
      </c>
      <c r="BC87" s="63">
        <f si="28" t="shared"/>
        <v>8000</v>
      </c>
    </row>
    <row r="88" spans="1:55" x14ac:dyDescent="0.2">
      <c r="A88" s="63" t="str">
        <f si="24" t="shared"/>
        <v>СКБСЖ</v>
      </c>
      <c r="B88" s="27" t="s">
        <v>4</v>
      </c>
      <c r="C88" s="1" t="str">
        <f>IFERROR(VLOOKUP(D88,Каналы!$B:$C,2,0),"")</f>
        <v/>
      </c>
      <c r="D88" s="27"/>
      <c r="E88" s="1" t="str">
        <f>IFERROR(VLOOKUP(D88,Каналы!$B:$D,3,0),"")</f>
        <v/>
      </c>
      <c r="F88" s="27"/>
      <c r="G88" s="27"/>
      <c r="H88" s="1" t="str">
        <f>IFERROR(VLOOKUP(K88,ЛБ!$C:$E,3,0),"")</f>
        <v/>
      </c>
      <c r="I88" s="27"/>
      <c r="J88" s="53"/>
      <c r="K88" s="27"/>
      <c r="L88" s="27"/>
      <c r="M88" s="27"/>
      <c r="N88" s="27"/>
      <c r="O88" s="5"/>
      <c r="P88" s="5"/>
      <c r="Q88" s="5"/>
      <c r="R88" s="5"/>
      <c r="S88" s="5"/>
      <c r="T88" s="5"/>
      <c r="U88" s="5"/>
      <c r="V88" s="5"/>
      <c r="W88" s="5"/>
      <c r="X88" s="41"/>
      <c r="Y88" s="41"/>
      <c r="Z88" s="41"/>
      <c r="AA88" s="4">
        <f si="29" t="shared"/>
        <v>0</v>
      </c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">
        <f si="30" t="shared"/>
        <v>0</v>
      </c>
      <c r="AO88" s="27"/>
      <c r="AP88" s="27"/>
      <c r="AQ88" s="42"/>
      <c r="AR88" s="42"/>
      <c r="AS88" s="42"/>
      <c r="AT88" s="42"/>
      <c r="AU88" s="27"/>
      <c r="AV88" s="27"/>
      <c r="AX88" s="41"/>
      <c r="AY88" s="41"/>
      <c r="AZ88" s="41"/>
    </row>
    <row r="89" spans="1:55" x14ac:dyDescent="0.2">
      <c r="A89" s="63" t="str">
        <f si="24" t="shared"/>
        <v>СКБСЖ</v>
      </c>
      <c r="B89" s="27" t="s">
        <v>4</v>
      </c>
      <c r="C89" s="1" t="str">
        <f>IFERROR(VLOOKUP(D89,Каналы!$B:$C,2,0),"")</f>
        <v/>
      </c>
      <c r="D89" s="27"/>
      <c r="E89" s="1" t="str">
        <f>IFERROR(VLOOKUP(D89,Каналы!$B:$D,3,0),"")</f>
        <v/>
      </c>
      <c r="F89" s="27"/>
      <c r="G89" s="27"/>
      <c r="H89" s="1" t="str">
        <f>IFERROR(VLOOKUP(K89,ЛБ!$C:$E,3,0),"")</f>
        <v/>
      </c>
      <c r="I89" s="27"/>
      <c r="J89" s="53"/>
      <c r="K89" s="27"/>
      <c r="L89" s="27"/>
      <c r="M89" s="27"/>
      <c r="N89" s="27"/>
      <c r="O89" s="5"/>
      <c r="P89" s="5"/>
      <c r="Q89" s="5"/>
      <c r="R89" s="5"/>
      <c r="S89" s="5"/>
      <c r="T89" s="5"/>
      <c r="U89" s="5"/>
      <c r="V89" s="5"/>
      <c r="W89" s="5"/>
      <c r="X89" s="41"/>
      <c r="Y89" s="41"/>
      <c r="Z89" s="41"/>
      <c r="AA89" s="4">
        <f si="29" t="shared"/>
        <v>0</v>
      </c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">
        <f si="30" t="shared"/>
        <v>0</v>
      </c>
      <c r="AO89" s="27"/>
      <c r="AP89" s="27"/>
      <c r="AQ89" s="42"/>
      <c r="AR89" s="42"/>
      <c r="AS89" s="42"/>
      <c r="AT89" s="42"/>
      <c r="AU89" s="27"/>
      <c r="AV89" s="27"/>
      <c r="AX89" s="41"/>
      <c r="AY89" s="41"/>
      <c r="AZ89" s="41"/>
    </row>
    <row r="90" spans="1:55" x14ac:dyDescent="0.2">
      <c r="A90" s="63" t="str">
        <f si="24" t="shared"/>
        <v>СКБСЖ</v>
      </c>
      <c r="B90" s="27" t="s">
        <v>4</v>
      </c>
      <c r="C90" s="1" t="str">
        <f>IFERROR(VLOOKUP(D90,Каналы!$B:$C,2,0),"")</f>
        <v/>
      </c>
      <c r="D90" s="27"/>
      <c r="E90" s="1" t="str">
        <f>IFERROR(VLOOKUP(D90,Каналы!$B:$D,3,0),"")</f>
        <v/>
      </c>
      <c r="F90" s="27"/>
      <c r="G90" s="27"/>
      <c r="H90" s="1" t="str">
        <f>IFERROR(VLOOKUP(K90,ЛБ!$C:$E,3,0),"")</f>
        <v/>
      </c>
      <c r="I90" s="27"/>
      <c r="J90" s="53"/>
      <c r="K90" s="27"/>
      <c r="L90" s="27"/>
      <c r="M90" s="27"/>
      <c r="N90" s="27"/>
      <c r="O90" s="5"/>
      <c r="P90" s="5"/>
      <c r="Q90" s="5"/>
      <c r="R90" s="5"/>
      <c r="S90" s="5"/>
      <c r="T90" s="5"/>
      <c r="U90" s="5"/>
      <c r="V90" s="5"/>
      <c r="W90" s="5"/>
      <c r="X90" s="41"/>
      <c r="Y90" s="41"/>
      <c r="Z90" s="41"/>
      <c r="AA90" s="4">
        <f si="29" t="shared"/>
        <v>0</v>
      </c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">
        <f si="30" t="shared"/>
        <v>0</v>
      </c>
      <c r="AO90" s="27"/>
      <c r="AP90" s="27"/>
      <c r="AQ90" s="42"/>
      <c r="AR90" s="42"/>
      <c r="AS90" s="42"/>
      <c r="AT90" s="42"/>
      <c r="AU90" s="27"/>
      <c r="AV90" s="27"/>
      <c r="AX90" s="41"/>
      <c r="AY90" s="41"/>
      <c r="AZ90" s="41"/>
    </row>
    <row r="91" spans="1:55" x14ac:dyDescent="0.2">
      <c r="A91" s="63" t="str">
        <f si="24" t="shared"/>
        <v>СКБСЖ</v>
      </c>
      <c r="B91" s="27" t="s">
        <v>4</v>
      </c>
      <c r="C91" s="1" t="str">
        <f>IFERROR(VLOOKUP(D91,Каналы!$B:$C,2,0),"")</f>
        <v/>
      </c>
      <c r="D91" s="27"/>
      <c r="E91" s="1" t="str">
        <f>IFERROR(VLOOKUP(D91,Каналы!$B:$D,3,0),"")</f>
        <v/>
      </c>
      <c r="F91" s="27"/>
      <c r="G91" s="27"/>
      <c r="H91" s="1" t="str">
        <f>IFERROR(VLOOKUP(K91,ЛБ!$C:$E,3,0),"")</f>
        <v/>
      </c>
      <c r="I91" s="27"/>
      <c r="J91" s="53"/>
      <c r="K91" s="27"/>
      <c r="L91" s="27"/>
      <c r="M91" s="27"/>
      <c r="N91" s="27"/>
      <c r="O91" s="5"/>
      <c r="P91" s="5"/>
      <c r="Q91" s="5"/>
      <c r="R91" s="5"/>
      <c r="S91" s="5"/>
      <c r="T91" s="5"/>
      <c r="U91" s="5"/>
      <c r="V91" s="5"/>
      <c r="W91" s="5"/>
      <c r="X91" s="41"/>
      <c r="Y91" s="41"/>
      <c r="Z91" s="41"/>
      <c r="AA91" s="4">
        <f si="29" t="shared"/>
        <v>0</v>
      </c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">
        <f si="30" t="shared"/>
        <v>0</v>
      </c>
      <c r="AO91" s="27"/>
      <c r="AP91" s="27"/>
      <c r="AQ91" s="42"/>
      <c r="AR91" s="42"/>
      <c r="AS91" s="42"/>
      <c r="AT91" s="42"/>
      <c r="AU91" s="27"/>
      <c r="AV91" s="27"/>
      <c r="AX91" s="41"/>
      <c r="AY91" s="41"/>
      <c r="AZ91" s="41"/>
    </row>
    <row r="92" spans="1:55" x14ac:dyDescent="0.2">
      <c r="A92" s="63" t="str">
        <f si="24" t="shared"/>
        <v>СКБСЖ</v>
      </c>
      <c r="B92" s="27" t="s">
        <v>4</v>
      </c>
      <c r="C92" s="1" t="str">
        <f>IFERROR(VLOOKUP(D92,Каналы!$B:$C,2,0),"")</f>
        <v/>
      </c>
      <c r="D92" s="27"/>
      <c r="E92" s="1" t="str">
        <f>IFERROR(VLOOKUP(D92,Каналы!$B:$D,3,0),"")</f>
        <v/>
      </c>
      <c r="F92" s="27"/>
      <c r="G92" s="27"/>
      <c r="H92" s="1" t="str">
        <f>IFERROR(VLOOKUP(K92,ЛБ!$C:$E,3,0),"")</f>
        <v/>
      </c>
      <c r="I92" s="27"/>
      <c r="J92" s="53"/>
      <c r="K92" s="27"/>
      <c r="L92" s="27"/>
      <c r="M92" s="27"/>
      <c r="N92" s="27"/>
      <c r="O92" s="5"/>
      <c r="P92" s="5"/>
      <c r="Q92" s="5"/>
      <c r="R92" s="5"/>
      <c r="S92" s="5"/>
      <c r="T92" s="5"/>
      <c r="U92" s="5"/>
      <c r="V92" s="5"/>
      <c r="W92" s="5"/>
      <c r="X92" s="41"/>
      <c r="Y92" s="41"/>
      <c r="Z92" s="41"/>
      <c r="AA92" s="4">
        <f si="29" t="shared"/>
        <v>0</v>
      </c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">
        <f si="30" t="shared"/>
        <v>0</v>
      </c>
      <c r="AO92" s="27"/>
      <c r="AP92" s="27"/>
      <c r="AQ92" s="42"/>
      <c r="AR92" s="42"/>
      <c r="AS92" s="42"/>
      <c r="AT92" s="42"/>
      <c r="AU92" s="27"/>
      <c r="AV92" s="27"/>
      <c r="AX92" s="41"/>
      <c r="AY92" s="41"/>
      <c r="AZ92" s="41"/>
    </row>
    <row r="93" spans="1:55" x14ac:dyDescent="0.2">
      <c r="A93" s="63" t="str">
        <f si="24" t="shared"/>
        <v>СКБСЖ</v>
      </c>
      <c r="B93" s="27" t="s">
        <v>4</v>
      </c>
      <c r="C93" s="1" t="str">
        <f>IFERROR(VLOOKUP(D93,Каналы!$B:$C,2,0),"")</f>
        <v/>
      </c>
      <c r="D93" s="27"/>
      <c r="E93" s="1" t="str">
        <f>IFERROR(VLOOKUP(D93,Каналы!$B:$D,3,0),"")</f>
        <v/>
      </c>
      <c r="F93" s="27"/>
      <c r="G93" s="27"/>
      <c r="H93" s="1" t="str">
        <f>IFERROR(VLOOKUP(K93,ЛБ!$C:$E,3,0),"")</f>
        <v/>
      </c>
      <c r="I93" s="27"/>
      <c r="J93" s="53"/>
      <c r="K93" s="27"/>
      <c r="L93" s="27"/>
      <c r="M93" s="27"/>
      <c r="N93" s="27"/>
      <c r="O93" s="5"/>
      <c r="P93" s="5"/>
      <c r="Q93" s="5"/>
      <c r="R93" s="5"/>
      <c r="S93" s="5"/>
      <c r="T93" s="5"/>
      <c r="U93" s="5"/>
      <c r="V93" s="5"/>
      <c r="W93" s="5"/>
      <c r="X93" s="41"/>
      <c r="Y93" s="41"/>
      <c r="Z93" s="41"/>
      <c r="AA93" s="4">
        <f si="29" t="shared"/>
        <v>0</v>
      </c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">
        <f si="30" t="shared"/>
        <v>0</v>
      </c>
      <c r="AO93" s="27"/>
      <c r="AP93" s="27"/>
      <c r="AQ93" s="42"/>
      <c r="AR93" s="42"/>
      <c r="AS93" s="42"/>
      <c r="AT93" s="42"/>
      <c r="AU93" s="27"/>
      <c r="AV93" s="27"/>
      <c r="AX93" s="41"/>
      <c r="AY93" s="41"/>
      <c r="AZ93" s="41"/>
    </row>
    <row r="94" spans="1:55" x14ac:dyDescent="0.2">
      <c r="A94" s="63" t="str">
        <f si="24" t="shared"/>
        <v>СКБСЖ</v>
      </c>
      <c r="B94" s="27" t="s">
        <v>4</v>
      </c>
      <c r="C94" s="1" t="str">
        <f>IFERROR(VLOOKUP(D94,Каналы!$B:$C,2,0),"")</f>
        <v/>
      </c>
      <c r="D94" s="27"/>
      <c r="E94" s="1" t="str">
        <f>IFERROR(VLOOKUP(D94,Каналы!$B:$D,3,0),"")</f>
        <v/>
      </c>
      <c r="F94" s="27"/>
      <c r="G94" s="27"/>
      <c r="H94" s="1" t="str">
        <f>IFERROR(VLOOKUP(K94,ЛБ!$C:$E,3,0),"")</f>
        <v/>
      </c>
      <c r="I94" s="27"/>
      <c r="J94" s="53"/>
      <c r="K94" s="27"/>
      <c r="L94" s="27"/>
      <c r="M94" s="27"/>
      <c r="N94" s="27"/>
      <c r="O94" s="5"/>
      <c r="P94" s="5"/>
      <c r="Q94" s="5"/>
      <c r="R94" s="5"/>
      <c r="S94" s="5"/>
      <c r="T94" s="5"/>
      <c r="U94" s="5"/>
      <c r="V94" s="5"/>
      <c r="W94" s="5"/>
      <c r="X94" s="41"/>
      <c r="Y94" s="41"/>
      <c r="Z94" s="41"/>
      <c r="AA94" s="4">
        <f si="29" t="shared"/>
        <v>0</v>
      </c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">
        <f si="30" t="shared"/>
        <v>0</v>
      </c>
      <c r="AO94" s="27"/>
      <c r="AP94" s="27"/>
      <c r="AQ94" s="42"/>
      <c r="AR94" s="42"/>
      <c r="AS94" s="42"/>
      <c r="AT94" s="42"/>
      <c r="AU94" s="27"/>
      <c r="AV94" s="27"/>
      <c r="AX94" s="41"/>
      <c r="AY94" s="41"/>
      <c r="AZ94" s="41"/>
    </row>
    <row r="95" spans="1:55" x14ac:dyDescent="0.2">
      <c r="A95" s="63" t="str">
        <f si="24" t="shared"/>
        <v>СКБСЖ</v>
      </c>
      <c r="B95" s="27" t="s">
        <v>4</v>
      </c>
      <c r="C95" s="1" t="str">
        <f>IFERROR(VLOOKUP(D95,Каналы!$B:$C,2,0),"")</f>
        <v/>
      </c>
      <c r="D95" s="27"/>
      <c r="E95" s="1" t="str">
        <f>IFERROR(VLOOKUP(D95,Каналы!$B:$D,3,0),"")</f>
        <v/>
      </c>
      <c r="F95" s="27"/>
      <c r="G95" s="27"/>
      <c r="H95" s="1" t="str">
        <f>IFERROR(VLOOKUP(K95,ЛБ!$C:$E,3,0),"")</f>
        <v/>
      </c>
      <c r="I95" s="27"/>
      <c r="J95" s="53"/>
      <c r="K95" s="27"/>
      <c r="L95" s="27"/>
      <c r="M95" s="27"/>
      <c r="N95" s="27"/>
      <c r="O95" s="5"/>
      <c r="P95" s="5"/>
      <c r="Q95" s="5"/>
      <c r="R95" s="5"/>
      <c r="S95" s="5"/>
      <c r="T95" s="5"/>
      <c r="U95" s="5"/>
      <c r="V95" s="5"/>
      <c r="W95" s="5"/>
      <c r="X95" s="41"/>
      <c r="Y95" s="41"/>
      <c r="Z95" s="41"/>
      <c r="AA95" s="4">
        <f si="29" t="shared"/>
        <v>0</v>
      </c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">
        <f si="30" t="shared"/>
        <v>0</v>
      </c>
      <c r="AO95" s="27"/>
      <c r="AP95" s="27"/>
      <c r="AQ95" s="42"/>
      <c r="AR95" s="42"/>
      <c r="AS95" s="42"/>
      <c r="AT95" s="42"/>
      <c r="AU95" s="27"/>
      <c r="AV95" s="27"/>
      <c r="AX95" s="41"/>
      <c r="AY95" s="41"/>
      <c r="AZ95" s="41"/>
    </row>
    <row r="96" spans="1:55" x14ac:dyDescent="0.2">
      <c r="A96" s="63" t="str">
        <f si="24" t="shared"/>
        <v>СКБСЖ</v>
      </c>
      <c r="B96" s="27" t="s">
        <v>4</v>
      </c>
      <c r="C96" s="1" t="str">
        <f>IFERROR(VLOOKUP(D96,Каналы!$B:$C,2,0),"")</f>
        <v/>
      </c>
      <c r="D96" s="27"/>
      <c r="E96" s="1" t="str">
        <f>IFERROR(VLOOKUP(D96,Каналы!$B:$D,3,0),"")</f>
        <v/>
      </c>
      <c r="F96" s="27"/>
      <c r="G96" s="27"/>
      <c r="H96" s="1" t="str">
        <f>IFERROR(VLOOKUP(K96,ЛБ!$C:$E,3,0),"")</f>
        <v/>
      </c>
      <c r="I96" s="27"/>
      <c r="J96" s="53"/>
      <c r="K96" s="27"/>
      <c r="L96" s="27"/>
      <c r="M96" s="27"/>
      <c r="N96" s="27"/>
      <c r="O96" s="5"/>
      <c r="P96" s="5"/>
      <c r="Q96" s="5"/>
      <c r="R96" s="5"/>
      <c r="S96" s="5"/>
      <c r="T96" s="5"/>
      <c r="U96" s="5"/>
      <c r="V96" s="5"/>
      <c r="W96" s="5"/>
      <c r="X96" s="41"/>
      <c r="Y96" s="41"/>
      <c r="Z96" s="41"/>
      <c r="AA96" s="4">
        <f si="29" t="shared"/>
        <v>0</v>
      </c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">
        <f si="30" t="shared"/>
        <v>0</v>
      </c>
      <c r="AO96" s="27"/>
      <c r="AP96" s="27"/>
      <c r="AQ96" s="42"/>
      <c r="AR96" s="42"/>
      <c r="AS96" s="42"/>
      <c r="AT96" s="42"/>
      <c r="AU96" s="27"/>
      <c r="AV96" s="27"/>
      <c r="AX96" s="41"/>
      <c r="AY96" s="41"/>
      <c r="AZ96" s="41"/>
    </row>
    <row r="97" spans="1:52" x14ac:dyDescent="0.2">
      <c r="A97" s="63" t="str">
        <f si="24" t="shared"/>
        <v>СКБСЖ</v>
      </c>
      <c r="B97" s="27" t="s">
        <v>4</v>
      </c>
      <c r="C97" s="1" t="str">
        <f>IFERROR(VLOOKUP(D97,Каналы!$B:$C,2,0),"")</f>
        <v/>
      </c>
      <c r="D97" s="27"/>
      <c r="E97" s="1" t="str">
        <f>IFERROR(VLOOKUP(D97,Каналы!$B:$D,3,0),"")</f>
        <v/>
      </c>
      <c r="F97" s="27"/>
      <c r="G97" s="27"/>
      <c r="H97" s="1" t="str">
        <f>IFERROR(VLOOKUP(K97,ЛБ!$C:$E,3,0),"")</f>
        <v/>
      </c>
      <c r="I97" s="27"/>
      <c r="J97" s="53"/>
      <c r="K97" s="27"/>
      <c r="L97" s="27"/>
      <c r="M97" s="27"/>
      <c r="N97" s="27"/>
      <c r="O97" s="5"/>
      <c r="P97" s="5"/>
      <c r="Q97" s="5"/>
      <c r="R97" s="5"/>
      <c r="S97" s="5"/>
      <c r="T97" s="5"/>
      <c r="U97" s="5"/>
      <c r="V97" s="5"/>
      <c r="W97" s="5"/>
      <c r="X97" s="41"/>
      <c r="Y97" s="41"/>
      <c r="Z97" s="41"/>
      <c r="AA97" s="4">
        <f si="29" t="shared"/>
        <v>0</v>
      </c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">
        <f si="30" t="shared"/>
        <v>0</v>
      </c>
      <c r="AO97" s="27"/>
      <c r="AP97" s="27"/>
      <c r="AQ97" s="42"/>
      <c r="AR97" s="42"/>
      <c r="AS97" s="42"/>
      <c r="AT97" s="42"/>
      <c r="AU97" s="27"/>
      <c r="AV97" s="27"/>
      <c r="AX97" s="41"/>
      <c r="AY97" s="41"/>
      <c r="AZ97" s="41"/>
    </row>
    <row r="98" spans="1:52" x14ac:dyDescent="0.2">
      <c r="A98" s="63" t="str">
        <f si="24" t="shared"/>
        <v>СКБСЖ</v>
      </c>
      <c r="B98" s="27" t="s">
        <v>4</v>
      </c>
      <c r="C98" s="1" t="str">
        <f>IFERROR(VLOOKUP(D98,Каналы!$B:$C,2,0),"")</f>
        <v/>
      </c>
      <c r="D98" s="27"/>
      <c r="E98" s="1" t="str">
        <f>IFERROR(VLOOKUP(D98,Каналы!$B:$D,3,0),"")</f>
        <v/>
      </c>
      <c r="F98" s="27"/>
      <c r="G98" s="27"/>
      <c r="H98" s="1" t="str">
        <f>IFERROR(VLOOKUP(K98,ЛБ!$C:$E,3,0),"")</f>
        <v/>
      </c>
      <c r="I98" s="27"/>
      <c r="J98" s="53"/>
      <c r="K98" s="27"/>
      <c r="L98" s="27"/>
      <c r="M98" s="27"/>
      <c r="N98" s="27"/>
      <c r="O98" s="5"/>
      <c r="P98" s="5"/>
      <c r="Q98" s="5"/>
      <c r="R98" s="5"/>
      <c r="S98" s="5"/>
      <c r="T98" s="5"/>
      <c r="U98" s="5"/>
      <c r="V98" s="5"/>
      <c r="W98" s="5"/>
      <c r="X98" s="41"/>
      <c r="Y98" s="41"/>
      <c r="Z98" s="41"/>
      <c r="AA98" s="4">
        <f si="29" t="shared"/>
        <v>0</v>
      </c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">
        <f si="30" t="shared"/>
        <v>0</v>
      </c>
      <c r="AO98" s="27"/>
      <c r="AP98" s="27"/>
      <c r="AQ98" s="42"/>
      <c r="AR98" s="42"/>
      <c r="AS98" s="42"/>
      <c r="AT98" s="42"/>
      <c r="AU98" s="27"/>
      <c r="AV98" s="27"/>
      <c r="AX98" s="41"/>
      <c r="AY98" s="41"/>
      <c r="AZ98" s="41"/>
    </row>
    <row r="99" spans="1:52" x14ac:dyDescent="0.2">
      <c r="A99" s="63" t="str">
        <f si="24" t="shared"/>
        <v>СКБСЖ</v>
      </c>
      <c r="B99" s="27" t="s">
        <v>4</v>
      </c>
      <c r="C99" s="1" t="str">
        <f>IFERROR(VLOOKUP(D99,Каналы!$B:$C,2,0),"")</f>
        <v/>
      </c>
      <c r="D99" s="27"/>
      <c r="E99" s="1" t="str">
        <f>IFERROR(VLOOKUP(D99,Каналы!$B:$D,3,0),"")</f>
        <v/>
      </c>
      <c r="F99" s="27"/>
      <c r="G99" s="27"/>
      <c r="H99" s="1" t="str">
        <f>IFERROR(VLOOKUP(K99,ЛБ!$C:$E,3,0),"")</f>
        <v/>
      </c>
      <c r="I99" s="27"/>
      <c r="J99" s="53"/>
      <c r="K99" s="27"/>
      <c r="L99" s="27"/>
      <c r="M99" s="27"/>
      <c r="N99" s="27"/>
      <c r="O99" s="5"/>
      <c r="P99" s="5"/>
      <c r="Q99" s="5"/>
      <c r="R99" s="5"/>
      <c r="S99" s="5"/>
      <c r="T99" s="5"/>
      <c r="U99" s="5"/>
      <c r="V99" s="5"/>
      <c r="W99" s="5"/>
      <c r="X99" s="41"/>
      <c r="Y99" s="41"/>
      <c r="Z99" s="41"/>
      <c r="AA99" s="4">
        <f si="29" t="shared"/>
        <v>0</v>
      </c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">
        <f si="30" t="shared"/>
        <v>0</v>
      </c>
      <c r="AO99" s="27"/>
      <c r="AP99" s="27"/>
      <c r="AQ99" s="42"/>
      <c r="AR99" s="42"/>
      <c r="AS99" s="42"/>
      <c r="AT99" s="42"/>
      <c r="AU99" s="27"/>
      <c r="AV99" s="27"/>
      <c r="AX99" s="41"/>
      <c r="AY99" s="41"/>
      <c r="AZ99" s="41"/>
    </row>
    <row r="100" spans="1:52" x14ac:dyDescent="0.2">
      <c r="A100" s="63" t="str">
        <f si="24" t="shared"/>
        <v>СКБСЖ</v>
      </c>
      <c r="B100" s="27" t="s">
        <v>4</v>
      </c>
      <c r="C100" s="1" t="str">
        <f>IFERROR(VLOOKUP(D100,Каналы!$B:$C,2,0),"")</f>
        <v/>
      </c>
      <c r="D100" s="27"/>
      <c r="E100" s="1" t="str">
        <f>IFERROR(VLOOKUP(D100,Каналы!$B:$D,3,0),"")</f>
        <v/>
      </c>
      <c r="F100" s="27"/>
      <c r="G100" s="27"/>
      <c r="H100" s="1" t="str">
        <f>IFERROR(VLOOKUP(K100,ЛБ!$C:$E,3,0),"")</f>
        <v/>
      </c>
      <c r="I100" s="27"/>
      <c r="J100" s="53"/>
      <c r="K100" s="27"/>
      <c r="L100" s="27"/>
      <c r="M100" s="27"/>
      <c r="N100" s="27"/>
      <c r="O100" s="5"/>
      <c r="P100" s="5"/>
      <c r="Q100" s="5"/>
      <c r="R100" s="5"/>
      <c r="S100" s="5"/>
      <c r="T100" s="5"/>
      <c r="U100" s="5"/>
      <c r="V100" s="5"/>
      <c r="W100" s="5"/>
      <c r="X100" s="41"/>
      <c r="Y100" s="41"/>
      <c r="Z100" s="41"/>
      <c r="AA100" s="4">
        <f si="29" t="shared"/>
        <v>0</v>
      </c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">
        <f si="30" t="shared"/>
        <v>0</v>
      </c>
      <c r="AO100" s="27"/>
      <c r="AP100" s="27"/>
      <c r="AQ100" s="42"/>
      <c r="AR100" s="42"/>
      <c r="AS100" s="42"/>
      <c r="AT100" s="42"/>
      <c r="AU100" s="27"/>
      <c r="AV100" s="27"/>
      <c r="AX100" s="41"/>
      <c r="AY100" s="41"/>
      <c r="AZ100" s="41"/>
    </row>
    <row r="101" spans="1:52" x14ac:dyDescent="0.2">
      <c r="A101" s="63" t="str">
        <f si="24" t="shared"/>
        <v>СКБСЖ</v>
      </c>
      <c r="B101" s="27" t="s">
        <v>4</v>
      </c>
      <c r="C101" s="1" t="str">
        <f>IFERROR(VLOOKUP(D101,Каналы!$B:$C,2,0),"")</f>
        <v/>
      </c>
      <c r="D101" s="27"/>
      <c r="E101" s="1" t="str">
        <f>IFERROR(VLOOKUP(D101,Каналы!$B:$D,3,0),"")</f>
        <v/>
      </c>
      <c r="F101" s="27"/>
      <c r="G101" s="27"/>
      <c r="H101" s="1" t="str">
        <f>IFERROR(VLOOKUP(K101,ЛБ!$C:$E,3,0),"")</f>
        <v/>
      </c>
      <c r="I101" s="27"/>
      <c r="J101" s="53"/>
      <c r="K101" s="27"/>
      <c r="L101" s="27"/>
      <c r="M101" s="27"/>
      <c r="N101" s="27"/>
      <c r="O101" s="5"/>
      <c r="P101" s="5"/>
      <c r="Q101" s="5"/>
      <c r="R101" s="5"/>
      <c r="S101" s="5"/>
      <c r="T101" s="5"/>
      <c r="U101" s="5"/>
      <c r="V101" s="5"/>
      <c r="W101" s="5"/>
      <c r="X101" s="41"/>
      <c r="Y101" s="41"/>
      <c r="Z101" s="41"/>
      <c r="AA101" s="4">
        <f si="29" t="shared"/>
        <v>0</v>
      </c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">
        <f si="30" t="shared"/>
        <v>0</v>
      </c>
      <c r="AO101" s="27"/>
      <c r="AP101" s="27"/>
      <c r="AQ101" s="42"/>
      <c r="AR101" s="42"/>
      <c r="AS101" s="42"/>
      <c r="AT101" s="42"/>
      <c r="AU101" s="27"/>
      <c r="AV101" s="27"/>
      <c r="AX101" s="41"/>
      <c r="AY101" s="41"/>
      <c r="AZ101" s="41"/>
    </row>
    <row r="102" spans="1:52" x14ac:dyDescent="0.2">
      <c r="A102" s="63" t="str">
        <f si="24" t="shared"/>
        <v>СКБСЖ</v>
      </c>
      <c r="B102" s="27" t="s">
        <v>4</v>
      </c>
      <c r="C102" s="1" t="str">
        <f>IFERROR(VLOOKUP(D102,Каналы!$B:$C,2,0),"")</f>
        <v/>
      </c>
      <c r="D102" s="27"/>
      <c r="E102" s="1" t="str">
        <f>IFERROR(VLOOKUP(D102,Каналы!$B:$D,3,0),"")</f>
        <v/>
      </c>
      <c r="F102" s="27"/>
      <c r="G102" s="27"/>
      <c r="H102" s="1" t="str">
        <f>IFERROR(VLOOKUP(K102,ЛБ!$C:$E,3,0),"")</f>
        <v/>
      </c>
      <c r="I102" s="27"/>
      <c r="J102" s="53"/>
      <c r="K102" s="27"/>
      <c r="L102" s="27"/>
      <c r="M102" s="27"/>
      <c r="N102" s="27"/>
      <c r="O102" s="5"/>
      <c r="P102" s="5"/>
      <c r="Q102" s="5"/>
      <c r="R102" s="5"/>
      <c r="S102" s="5"/>
      <c r="T102" s="5"/>
      <c r="U102" s="5"/>
      <c r="V102" s="5"/>
      <c r="W102" s="5"/>
      <c r="X102" s="41"/>
      <c r="Y102" s="41"/>
      <c r="Z102" s="41"/>
      <c r="AA102" s="4">
        <f si="29" t="shared"/>
        <v>0</v>
      </c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">
        <f si="30" t="shared"/>
        <v>0</v>
      </c>
      <c r="AO102" s="27"/>
      <c r="AP102" s="27"/>
      <c r="AQ102" s="42"/>
      <c r="AR102" s="42"/>
      <c r="AS102" s="42"/>
      <c r="AT102" s="42"/>
      <c r="AU102" s="27"/>
      <c r="AV102" s="27"/>
      <c r="AX102" s="41"/>
      <c r="AY102" s="41"/>
      <c r="AZ102" s="41"/>
    </row>
    <row r="103" spans="1:52" x14ac:dyDescent="0.2">
      <c r="A103" s="63" t="str">
        <f si="24" t="shared"/>
        <v>СКБСЖ</v>
      </c>
      <c r="B103" s="27" t="s">
        <v>4</v>
      </c>
      <c r="C103" s="1" t="str">
        <f>IFERROR(VLOOKUP(D103,Каналы!$B:$C,2,0),"")</f>
        <v/>
      </c>
      <c r="D103" s="27"/>
      <c r="E103" s="1" t="str">
        <f>IFERROR(VLOOKUP(D103,Каналы!$B:$D,3,0),"")</f>
        <v/>
      </c>
      <c r="F103" s="27"/>
      <c r="G103" s="27"/>
      <c r="H103" s="1" t="str">
        <f>IFERROR(VLOOKUP(K103,ЛБ!$C:$E,3,0),"")</f>
        <v/>
      </c>
      <c r="I103" s="27"/>
      <c r="J103" s="53"/>
      <c r="K103" s="27"/>
      <c r="L103" s="27"/>
      <c r="M103" s="27"/>
      <c r="N103" s="27"/>
      <c r="O103" s="5"/>
      <c r="P103" s="5"/>
      <c r="Q103" s="5"/>
      <c r="R103" s="5"/>
      <c r="S103" s="5"/>
      <c r="T103" s="5"/>
      <c r="U103" s="5"/>
      <c r="V103" s="5"/>
      <c r="W103" s="5"/>
      <c r="X103" s="41"/>
      <c r="Y103" s="41"/>
      <c r="Z103" s="41"/>
      <c r="AA103" s="4">
        <f si="29" t="shared"/>
        <v>0</v>
      </c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">
        <f si="30" t="shared"/>
        <v>0</v>
      </c>
      <c r="AO103" s="27"/>
      <c r="AP103" s="27"/>
      <c r="AQ103" s="42"/>
      <c r="AR103" s="42"/>
      <c r="AS103" s="42"/>
      <c r="AT103" s="42"/>
      <c r="AU103" s="27"/>
      <c r="AV103" s="27"/>
      <c r="AX103" s="41"/>
      <c r="AY103" s="41"/>
      <c r="AZ103" s="41"/>
    </row>
    <row r="104" spans="1:52" x14ac:dyDescent="0.2">
      <c r="A104" s="63" t="str">
        <f si="24" t="shared"/>
        <v>СКБСЖ</v>
      </c>
      <c r="B104" s="27" t="s">
        <v>4</v>
      </c>
      <c r="C104" s="1" t="str">
        <f>IFERROR(VLOOKUP(D104,Каналы!$B:$C,2,0),"")</f>
        <v/>
      </c>
      <c r="D104" s="27"/>
      <c r="E104" s="1" t="str">
        <f>IFERROR(VLOOKUP(D104,Каналы!$B:$D,3,0),"")</f>
        <v/>
      </c>
      <c r="F104" s="27"/>
      <c r="G104" s="27"/>
      <c r="H104" s="1" t="str">
        <f>IFERROR(VLOOKUP(K104,ЛБ!$C:$E,3,0),"")</f>
        <v/>
      </c>
      <c r="I104" s="27"/>
      <c r="J104" s="53"/>
      <c r="K104" s="27"/>
      <c r="L104" s="27"/>
      <c r="M104" s="27"/>
      <c r="N104" s="27"/>
      <c r="O104" s="5"/>
      <c r="P104" s="5"/>
      <c r="Q104" s="5"/>
      <c r="R104" s="5"/>
      <c r="S104" s="5"/>
      <c r="T104" s="5"/>
      <c r="U104" s="5"/>
      <c r="V104" s="5"/>
      <c r="W104" s="5"/>
      <c r="X104" s="41"/>
      <c r="Y104" s="41"/>
      <c r="Z104" s="41"/>
      <c r="AA104" s="4">
        <f si="29" t="shared"/>
        <v>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">
        <f si="30" t="shared"/>
        <v>0</v>
      </c>
      <c r="AO104" s="27"/>
      <c r="AP104" s="27"/>
      <c r="AQ104" s="42"/>
      <c r="AR104" s="42"/>
      <c r="AS104" s="42"/>
      <c r="AT104" s="42"/>
      <c r="AU104" s="27"/>
      <c r="AV104" s="27"/>
      <c r="AX104" s="41"/>
      <c r="AY104" s="41"/>
      <c r="AZ104" s="41"/>
    </row>
    <row r="105" spans="1:52" x14ac:dyDescent="0.2">
      <c r="A105" s="63" t="str">
        <f si="24" t="shared"/>
        <v>СКБСЖ</v>
      </c>
      <c r="B105" s="27" t="s">
        <v>4</v>
      </c>
      <c r="C105" s="1" t="str">
        <f>IFERROR(VLOOKUP(D105,Каналы!$B:$C,2,0),"")</f>
        <v/>
      </c>
      <c r="D105" s="27"/>
      <c r="E105" s="1" t="str">
        <f>IFERROR(VLOOKUP(D105,Каналы!$B:$D,3,0),"")</f>
        <v/>
      </c>
      <c r="F105" s="27"/>
      <c r="G105" s="27"/>
      <c r="H105" s="1" t="str">
        <f>IFERROR(VLOOKUP(K105,ЛБ!$C:$E,3,0),"")</f>
        <v/>
      </c>
      <c r="I105" s="27"/>
      <c r="J105" s="53"/>
      <c r="K105" s="27"/>
      <c r="L105" s="27"/>
      <c r="M105" s="27"/>
      <c r="N105" s="27"/>
      <c r="O105" s="5"/>
      <c r="P105" s="5"/>
      <c r="Q105" s="5"/>
      <c r="R105" s="5"/>
      <c r="S105" s="5"/>
      <c r="T105" s="5"/>
      <c r="U105" s="5"/>
      <c r="V105" s="5"/>
      <c r="W105" s="5"/>
      <c r="X105" s="41"/>
      <c r="Y105" s="41"/>
      <c r="Z105" s="41"/>
      <c r="AA105" s="4">
        <f si="29" t="shared"/>
        <v>0</v>
      </c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">
        <f si="30" t="shared"/>
        <v>0</v>
      </c>
      <c r="AO105" s="27"/>
      <c r="AP105" s="27"/>
      <c r="AQ105" s="42"/>
      <c r="AR105" s="42"/>
      <c r="AS105" s="42"/>
      <c r="AT105" s="42"/>
      <c r="AU105" s="27"/>
      <c r="AV105" s="27"/>
      <c r="AX105" s="41"/>
      <c r="AY105" s="41"/>
      <c r="AZ105" s="41"/>
    </row>
    <row r="106" spans="1:52" x14ac:dyDescent="0.2">
      <c r="A106" s="63" t="str">
        <f si="24" t="shared"/>
        <v>СКБСЖ</v>
      </c>
      <c r="B106" s="27" t="s">
        <v>4</v>
      </c>
      <c r="C106" s="1" t="str">
        <f>IFERROR(VLOOKUP(D106,Каналы!$B:$C,2,0),"")</f>
        <v/>
      </c>
      <c r="D106" s="27"/>
      <c r="E106" s="1" t="str">
        <f>IFERROR(VLOOKUP(D106,Каналы!$B:$D,3,0),"")</f>
        <v/>
      </c>
      <c r="F106" s="27"/>
      <c r="G106" s="27"/>
      <c r="H106" s="1" t="str">
        <f>IFERROR(VLOOKUP(K106,ЛБ!$C:$E,3,0),"")</f>
        <v/>
      </c>
      <c r="I106" s="27"/>
      <c r="J106" s="53"/>
      <c r="K106" s="27"/>
      <c r="L106" s="27"/>
      <c r="M106" s="27"/>
      <c r="N106" s="27"/>
      <c r="O106" s="5"/>
      <c r="P106" s="5"/>
      <c r="Q106" s="5"/>
      <c r="R106" s="5"/>
      <c r="S106" s="5"/>
      <c r="T106" s="5"/>
      <c r="U106" s="5"/>
      <c r="V106" s="5"/>
      <c r="W106" s="5"/>
      <c r="X106" s="41"/>
      <c r="Y106" s="41"/>
      <c r="Z106" s="41"/>
      <c r="AA106" s="4">
        <f si="29" t="shared"/>
        <v>0</v>
      </c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">
        <f si="30" t="shared"/>
        <v>0</v>
      </c>
      <c r="AO106" s="27"/>
      <c r="AP106" s="27"/>
      <c r="AQ106" s="42"/>
      <c r="AR106" s="42"/>
      <c r="AS106" s="42"/>
      <c r="AT106" s="42"/>
      <c r="AU106" s="27"/>
      <c r="AV106" s="27"/>
      <c r="AX106" s="41"/>
      <c r="AY106" s="41"/>
      <c r="AZ106" s="41"/>
    </row>
    <row r="107" spans="1:52" x14ac:dyDescent="0.2">
      <c r="A107" s="63" t="str">
        <f si="24" t="shared"/>
        <v>СКБСЖ</v>
      </c>
      <c r="B107" s="27" t="s">
        <v>4</v>
      </c>
      <c r="C107" s="1" t="str">
        <f>IFERROR(VLOOKUP(D107,Каналы!$B:$C,2,0),"")</f>
        <v/>
      </c>
      <c r="D107" s="27"/>
      <c r="E107" s="1" t="str">
        <f>IFERROR(VLOOKUP(D107,Каналы!$B:$D,3,0),"")</f>
        <v/>
      </c>
      <c r="F107" s="27"/>
      <c r="G107" s="27"/>
      <c r="H107" s="1" t="str">
        <f>IFERROR(VLOOKUP(K107,ЛБ!$C:$E,3,0),"")</f>
        <v/>
      </c>
      <c r="I107" s="27"/>
      <c r="J107" s="53"/>
      <c r="K107" s="27"/>
      <c r="L107" s="27"/>
      <c r="M107" s="27"/>
      <c r="N107" s="27"/>
      <c r="O107" s="5"/>
      <c r="P107" s="5"/>
      <c r="Q107" s="5"/>
      <c r="R107" s="5"/>
      <c r="S107" s="5"/>
      <c r="T107" s="5"/>
      <c r="U107" s="5"/>
      <c r="V107" s="5"/>
      <c r="W107" s="5"/>
      <c r="X107" s="41"/>
      <c r="Y107" s="41"/>
      <c r="Z107" s="41"/>
      <c r="AA107" s="4">
        <f si="29" t="shared"/>
        <v>0</v>
      </c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">
        <f si="30" t="shared"/>
        <v>0</v>
      </c>
      <c r="AO107" s="27"/>
      <c r="AP107" s="27"/>
      <c r="AQ107" s="42"/>
      <c r="AR107" s="42"/>
      <c r="AS107" s="42"/>
      <c r="AT107" s="42"/>
      <c r="AU107" s="27"/>
      <c r="AV107" s="27"/>
      <c r="AX107" s="41"/>
      <c r="AY107" s="41"/>
      <c r="AZ107" s="41"/>
    </row>
    <row r="108" spans="1:52" x14ac:dyDescent="0.2">
      <c r="A108" s="63" t="str">
        <f si="24" t="shared"/>
        <v>СКБСЖ</v>
      </c>
      <c r="B108" s="27" t="s">
        <v>4</v>
      </c>
      <c r="C108" s="1" t="str">
        <f>IFERROR(VLOOKUP(D108,Каналы!$B:$C,2,0),"")</f>
        <v/>
      </c>
      <c r="D108" s="27"/>
      <c r="E108" s="1" t="str">
        <f>IFERROR(VLOOKUP(D108,Каналы!$B:$D,3,0),"")</f>
        <v/>
      </c>
      <c r="F108" s="27"/>
      <c r="G108" s="27"/>
      <c r="H108" s="1" t="str">
        <f>IFERROR(VLOOKUP(K108,ЛБ!$C:$E,3,0),"")</f>
        <v/>
      </c>
      <c r="I108" s="27"/>
      <c r="J108" s="53"/>
      <c r="K108" s="27"/>
      <c r="L108" s="27"/>
      <c r="M108" s="27"/>
      <c r="N108" s="27"/>
      <c r="O108" s="5"/>
      <c r="P108" s="5"/>
      <c r="Q108" s="5"/>
      <c r="R108" s="5"/>
      <c r="S108" s="5"/>
      <c r="T108" s="5"/>
      <c r="U108" s="5"/>
      <c r="V108" s="5"/>
      <c r="W108" s="5"/>
      <c r="X108" s="41"/>
      <c r="Y108" s="41"/>
      <c r="Z108" s="41"/>
      <c r="AA108" s="4">
        <f si="29" t="shared"/>
        <v>0</v>
      </c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">
        <f si="30" t="shared"/>
        <v>0</v>
      </c>
      <c r="AO108" s="27"/>
      <c r="AP108" s="27"/>
      <c r="AQ108" s="42"/>
      <c r="AR108" s="42"/>
      <c r="AS108" s="42"/>
      <c r="AT108" s="42"/>
      <c r="AU108" s="27"/>
      <c r="AV108" s="27"/>
      <c r="AX108" s="41"/>
      <c r="AY108" s="41"/>
      <c r="AZ108" s="41"/>
    </row>
    <row r="109" spans="1:52" x14ac:dyDescent="0.2">
      <c r="A109" s="63" t="str">
        <f si="24" t="shared"/>
        <v>СКБСЖ</v>
      </c>
      <c r="B109" s="27" t="s">
        <v>4</v>
      </c>
      <c r="C109" s="1" t="str">
        <f>IFERROR(VLOOKUP(D109,Каналы!$B:$C,2,0),"")</f>
        <v/>
      </c>
      <c r="D109" s="27"/>
      <c r="E109" s="1" t="str">
        <f>IFERROR(VLOOKUP(D109,Каналы!$B:$D,3,0),"")</f>
        <v/>
      </c>
      <c r="F109" s="27"/>
      <c r="G109" s="27"/>
      <c r="H109" s="1" t="str">
        <f>IFERROR(VLOOKUP(K109,ЛБ!$C:$E,3,0),"")</f>
        <v/>
      </c>
      <c r="I109" s="27"/>
      <c r="J109" s="53"/>
      <c r="K109" s="27"/>
      <c r="L109" s="27"/>
      <c r="M109" s="27"/>
      <c r="N109" s="27"/>
      <c r="O109" s="5"/>
      <c r="P109" s="5"/>
      <c r="Q109" s="5"/>
      <c r="R109" s="5"/>
      <c r="S109" s="5"/>
      <c r="T109" s="5"/>
      <c r="U109" s="5"/>
      <c r="V109" s="5"/>
      <c r="W109" s="5"/>
      <c r="X109" s="41"/>
      <c r="Y109" s="41"/>
      <c r="Z109" s="41"/>
      <c r="AA109" s="4">
        <f si="29" t="shared"/>
        <v>0</v>
      </c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">
        <f si="30" t="shared"/>
        <v>0</v>
      </c>
      <c r="AO109" s="27"/>
      <c r="AP109" s="27"/>
      <c r="AQ109" s="42"/>
      <c r="AR109" s="42"/>
      <c r="AS109" s="42"/>
      <c r="AT109" s="42"/>
      <c r="AU109" s="27"/>
      <c r="AV109" s="27"/>
      <c r="AX109" s="41"/>
      <c r="AY109" s="41"/>
      <c r="AZ109" s="41"/>
    </row>
    <row r="110" spans="1:52" x14ac:dyDescent="0.2">
      <c r="A110" s="63" t="str">
        <f si="24" t="shared"/>
        <v>СКБСЖ</v>
      </c>
      <c r="B110" s="27" t="s">
        <v>4</v>
      </c>
      <c r="C110" s="1" t="str">
        <f>IFERROR(VLOOKUP(D110,Каналы!$B:$C,2,0),"")</f>
        <v/>
      </c>
      <c r="D110" s="27"/>
      <c r="E110" s="1" t="str">
        <f>IFERROR(VLOOKUP(D110,Каналы!$B:$D,3,0),"")</f>
        <v/>
      </c>
      <c r="F110" s="27"/>
      <c r="G110" s="27"/>
      <c r="H110" s="1" t="str">
        <f>IFERROR(VLOOKUP(K110,ЛБ!$C:$E,3,0),"")</f>
        <v/>
      </c>
      <c r="I110" s="27"/>
      <c r="J110" s="53"/>
      <c r="K110" s="27"/>
      <c r="L110" s="27"/>
      <c r="M110" s="27"/>
      <c r="N110" s="27"/>
      <c r="O110" s="5"/>
      <c r="P110" s="5"/>
      <c r="Q110" s="5"/>
      <c r="R110" s="5"/>
      <c r="S110" s="5"/>
      <c r="T110" s="5"/>
      <c r="U110" s="5"/>
      <c r="V110" s="5"/>
      <c r="W110" s="5"/>
      <c r="X110" s="41"/>
      <c r="Y110" s="41"/>
      <c r="Z110" s="41"/>
      <c r="AA110" s="4">
        <f si="29" t="shared"/>
        <v>0</v>
      </c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">
        <f si="30" t="shared"/>
        <v>0</v>
      </c>
      <c r="AO110" s="27"/>
      <c r="AP110" s="27"/>
      <c r="AQ110" s="42"/>
      <c r="AR110" s="42"/>
      <c r="AS110" s="42"/>
      <c r="AT110" s="42"/>
      <c r="AU110" s="27"/>
      <c r="AV110" s="27"/>
      <c r="AX110" s="41"/>
      <c r="AY110" s="41"/>
      <c r="AZ110" s="41"/>
    </row>
    <row r="111" spans="1:52" x14ac:dyDescent="0.2">
      <c r="A111" s="63" t="str">
        <f si="24" t="shared"/>
        <v>СКБСЖ</v>
      </c>
      <c r="B111" s="27" t="s">
        <v>4</v>
      </c>
      <c r="C111" s="1" t="str">
        <f>IFERROR(VLOOKUP(D111,Каналы!$B:$C,2,0),"")</f>
        <v/>
      </c>
      <c r="D111" s="27"/>
      <c r="E111" s="1" t="str">
        <f>IFERROR(VLOOKUP(D111,Каналы!$B:$D,3,0),"")</f>
        <v/>
      </c>
      <c r="F111" s="27"/>
      <c r="G111" s="27"/>
      <c r="H111" s="1" t="str">
        <f>IFERROR(VLOOKUP(K111,ЛБ!$C:$E,3,0),"")</f>
        <v/>
      </c>
      <c r="I111" s="27"/>
      <c r="J111" s="53"/>
      <c r="K111" s="27"/>
      <c r="L111" s="27"/>
      <c r="M111" s="27"/>
      <c r="N111" s="27"/>
      <c r="O111" s="5"/>
      <c r="P111" s="5"/>
      <c r="Q111" s="5"/>
      <c r="R111" s="5"/>
      <c r="S111" s="5"/>
      <c r="T111" s="5"/>
      <c r="U111" s="5"/>
      <c r="V111" s="5"/>
      <c r="W111" s="5"/>
      <c r="X111" s="41"/>
      <c r="Y111" s="41"/>
      <c r="Z111" s="41"/>
      <c r="AA111" s="4">
        <f si="29" t="shared"/>
        <v>0</v>
      </c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">
        <f si="30" t="shared"/>
        <v>0</v>
      </c>
      <c r="AO111" s="27"/>
      <c r="AP111" s="27"/>
      <c r="AQ111" s="42"/>
      <c r="AR111" s="42"/>
      <c r="AS111" s="42"/>
      <c r="AT111" s="42"/>
      <c r="AU111" s="27"/>
      <c r="AV111" s="27"/>
      <c r="AX111" s="41"/>
      <c r="AY111" s="41"/>
      <c r="AZ111" s="41"/>
    </row>
    <row r="112" spans="1:52" x14ac:dyDescent="0.2">
      <c r="A112" s="63" t="str">
        <f si="24" t="shared"/>
        <v>СКБСЖ</v>
      </c>
      <c r="B112" s="27" t="s">
        <v>4</v>
      </c>
      <c r="C112" s="1" t="str">
        <f>IFERROR(VLOOKUP(D112,Каналы!$B:$C,2,0),"")</f>
        <v/>
      </c>
      <c r="D112" s="27"/>
      <c r="E112" s="1" t="str">
        <f>IFERROR(VLOOKUP(D112,Каналы!$B:$D,3,0),"")</f>
        <v/>
      </c>
      <c r="F112" s="27"/>
      <c r="G112" s="27"/>
      <c r="H112" s="1" t="str">
        <f>IFERROR(VLOOKUP(K112,ЛБ!$C:$E,3,0),"")</f>
        <v/>
      </c>
      <c r="I112" s="27"/>
      <c r="J112" s="53"/>
      <c r="K112" s="27"/>
      <c r="L112" s="27"/>
      <c r="M112" s="27"/>
      <c r="N112" s="27"/>
      <c r="O112" s="5"/>
      <c r="P112" s="5"/>
      <c r="Q112" s="5"/>
      <c r="R112" s="5"/>
      <c r="S112" s="5"/>
      <c r="T112" s="5"/>
      <c r="U112" s="5"/>
      <c r="V112" s="5"/>
      <c r="W112" s="5"/>
      <c r="X112" s="41"/>
      <c r="Y112" s="41"/>
      <c r="Z112" s="41"/>
      <c r="AA112" s="4">
        <f si="29" t="shared"/>
        <v>0</v>
      </c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">
        <f si="30" t="shared"/>
        <v>0</v>
      </c>
      <c r="AO112" s="27"/>
      <c r="AP112" s="27"/>
      <c r="AQ112" s="42"/>
      <c r="AR112" s="42"/>
      <c r="AS112" s="42"/>
      <c r="AT112" s="42"/>
      <c r="AU112" s="27"/>
      <c r="AV112" s="27"/>
      <c r="AX112" s="41"/>
      <c r="AY112" s="41"/>
      <c r="AZ112" s="41"/>
    </row>
    <row r="113" spans="1:52" x14ac:dyDescent="0.2">
      <c r="A113" s="63" t="str">
        <f si="24" t="shared"/>
        <v>СКБСЖ</v>
      </c>
      <c r="B113" s="27" t="s">
        <v>4</v>
      </c>
      <c r="C113" s="1" t="str">
        <f>IFERROR(VLOOKUP(D113,Каналы!$B:$C,2,0),"")</f>
        <v/>
      </c>
      <c r="D113" s="27"/>
      <c r="E113" s="1" t="str">
        <f>IFERROR(VLOOKUP(D113,Каналы!$B:$D,3,0),"")</f>
        <v/>
      </c>
      <c r="F113" s="27"/>
      <c r="G113" s="27"/>
      <c r="H113" s="1" t="str">
        <f>IFERROR(VLOOKUP(K113,ЛБ!$C:$E,3,0),"")</f>
        <v/>
      </c>
      <c r="I113" s="27"/>
      <c r="J113" s="53"/>
      <c r="K113" s="27"/>
      <c r="L113" s="27"/>
      <c r="M113" s="27"/>
      <c r="N113" s="27"/>
      <c r="O113" s="5"/>
      <c r="P113" s="5"/>
      <c r="Q113" s="5"/>
      <c r="R113" s="5"/>
      <c r="S113" s="5"/>
      <c r="T113" s="5"/>
      <c r="U113" s="5"/>
      <c r="V113" s="5"/>
      <c r="W113" s="5"/>
      <c r="X113" s="41"/>
      <c r="Y113" s="41"/>
      <c r="Z113" s="41"/>
      <c r="AA113" s="4">
        <f si="29" t="shared"/>
        <v>0</v>
      </c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">
        <f si="30" t="shared"/>
        <v>0</v>
      </c>
      <c r="AO113" s="27"/>
      <c r="AP113" s="27"/>
      <c r="AQ113" s="42"/>
      <c r="AR113" s="42"/>
      <c r="AS113" s="42"/>
      <c r="AT113" s="42"/>
      <c r="AU113" s="27"/>
      <c r="AV113" s="27"/>
      <c r="AX113" s="41"/>
      <c r="AY113" s="41"/>
      <c r="AZ113" s="41"/>
    </row>
    <row r="114" spans="1:52" x14ac:dyDescent="0.2">
      <c r="A114" s="63" t="str">
        <f si="24" t="shared"/>
        <v>СКБСЖ</v>
      </c>
      <c r="B114" s="27" t="s">
        <v>4</v>
      </c>
      <c r="C114" s="1" t="str">
        <f>IFERROR(VLOOKUP(D114,Каналы!$B:$C,2,0),"")</f>
        <v/>
      </c>
      <c r="D114" s="27"/>
      <c r="E114" s="1" t="str">
        <f>IFERROR(VLOOKUP(D114,Каналы!$B:$D,3,0),"")</f>
        <v/>
      </c>
      <c r="F114" s="27"/>
      <c r="G114" s="27"/>
      <c r="H114" s="1" t="str">
        <f>IFERROR(VLOOKUP(K114,ЛБ!$C:$E,3,0),"")</f>
        <v/>
      </c>
      <c r="I114" s="27"/>
      <c r="J114" s="53"/>
      <c r="K114" s="27"/>
      <c r="L114" s="27"/>
      <c r="M114" s="27"/>
      <c r="N114" s="27"/>
      <c r="O114" s="5"/>
      <c r="P114" s="5"/>
      <c r="Q114" s="5"/>
      <c r="R114" s="5"/>
      <c r="S114" s="5"/>
      <c r="T114" s="5"/>
      <c r="U114" s="5"/>
      <c r="V114" s="5"/>
      <c r="W114" s="5"/>
      <c r="X114" s="41"/>
      <c r="Y114" s="41"/>
      <c r="Z114" s="41"/>
      <c r="AA114" s="4">
        <f si="29" t="shared"/>
        <v>0</v>
      </c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">
        <f si="30" t="shared"/>
        <v>0</v>
      </c>
      <c r="AO114" s="27"/>
      <c r="AP114" s="27"/>
      <c r="AQ114" s="42"/>
      <c r="AR114" s="42"/>
      <c r="AS114" s="42"/>
      <c r="AT114" s="42"/>
      <c r="AU114" s="27"/>
      <c r="AV114" s="27"/>
      <c r="AX114" s="41"/>
      <c r="AY114" s="41"/>
      <c r="AZ114" s="41"/>
    </row>
    <row r="115" spans="1:52" x14ac:dyDescent="0.2">
      <c r="A115" s="63" t="str">
        <f si="24" t="shared"/>
        <v>СКБСЖ</v>
      </c>
      <c r="B115" s="27" t="s">
        <v>4</v>
      </c>
      <c r="C115" s="1" t="str">
        <f>IFERROR(VLOOKUP(D115,Каналы!$B:$C,2,0),"")</f>
        <v/>
      </c>
      <c r="D115" s="27"/>
      <c r="E115" s="1" t="str">
        <f>IFERROR(VLOOKUP(D115,Каналы!$B:$D,3,0),"")</f>
        <v/>
      </c>
      <c r="F115" s="27"/>
      <c r="G115" s="27"/>
      <c r="H115" s="1" t="str">
        <f>IFERROR(VLOOKUP(K115,ЛБ!$C:$E,3,0),"")</f>
        <v/>
      </c>
      <c r="I115" s="27"/>
      <c r="J115" s="53"/>
      <c r="K115" s="27"/>
      <c r="L115" s="27"/>
      <c r="M115" s="27"/>
      <c r="N115" s="27"/>
      <c r="O115" s="5"/>
      <c r="P115" s="5"/>
      <c r="Q115" s="5"/>
      <c r="R115" s="5"/>
      <c r="S115" s="5"/>
      <c r="T115" s="5"/>
      <c r="U115" s="5"/>
      <c r="V115" s="5"/>
      <c r="W115" s="5"/>
      <c r="X115" s="41"/>
      <c r="Y115" s="41"/>
      <c r="Z115" s="41"/>
      <c r="AA115" s="4">
        <f si="29" t="shared"/>
        <v>0</v>
      </c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">
        <f si="30" t="shared"/>
        <v>0</v>
      </c>
      <c r="AO115" s="27"/>
      <c r="AP115" s="27"/>
      <c r="AQ115" s="42"/>
      <c r="AR115" s="42"/>
      <c r="AS115" s="42"/>
      <c r="AT115" s="42"/>
      <c r="AU115" s="27"/>
      <c r="AV115" s="27"/>
      <c r="AX115" s="41"/>
      <c r="AY115" s="41"/>
      <c r="AZ115" s="41"/>
    </row>
    <row r="116" spans="1:52" x14ac:dyDescent="0.2">
      <c r="A116" s="63" t="str">
        <f si="24" t="shared"/>
        <v>СКБСЖ</v>
      </c>
      <c r="B116" s="27" t="s">
        <v>4</v>
      </c>
      <c r="C116" s="1" t="str">
        <f>IFERROR(VLOOKUP(D116,Каналы!$B:$C,2,0),"")</f>
        <v/>
      </c>
      <c r="D116" s="27"/>
      <c r="E116" s="1" t="str">
        <f>IFERROR(VLOOKUP(D116,Каналы!$B:$D,3,0),"")</f>
        <v/>
      </c>
      <c r="F116" s="27"/>
      <c r="G116" s="27"/>
      <c r="H116" s="1" t="str">
        <f>IFERROR(VLOOKUP(K116,ЛБ!$C:$E,3,0),"")</f>
        <v/>
      </c>
      <c r="I116" s="27"/>
      <c r="J116" s="53"/>
      <c r="K116" s="27"/>
      <c r="L116" s="27"/>
      <c r="M116" s="27"/>
      <c r="N116" s="27"/>
      <c r="O116" s="5"/>
      <c r="P116" s="5"/>
      <c r="Q116" s="5"/>
      <c r="R116" s="5"/>
      <c r="S116" s="5"/>
      <c r="T116" s="5"/>
      <c r="U116" s="5"/>
      <c r="V116" s="5"/>
      <c r="W116" s="5"/>
      <c r="X116" s="41"/>
      <c r="Y116" s="41"/>
      <c r="Z116" s="41"/>
      <c r="AA116" s="4">
        <f si="29" t="shared"/>
        <v>0</v>
      </c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">
        <f si="30" t="shared"/>
        <v>0</v>
      </c>
      <c r="AO116" s="27"/>
      <c r="AP116" s="27"/>
      <c r="AQ116" s="42"/>
      <c r="AR116" s="42"/>
      <c r="AS116" s="42"/>
      <c r="AT116" s="42"/>
      <c r="AU116" s="27"/>
      <c r="AV116" s="27"/>
      <c r="AX116" s="41"/>
      <c r="AY116" s="41"/>
      <c r="AZ116" s="41"/>
    </row>
    <row r="117" spans="1:52" x14ac:dyDescent="0.2">
      <c r="A117" s="63" t="str">
        <f si="24" t="shared"/>
        <v>СКБСЖ</v>
      </c>
      <c r="B117" s="27" t="s">
        <v>4</v>
      </c>
      <c r="C117" s="1" t="str">
        <f>IFERROR(VLOOKUP(D117,Каналы!$B:$C,2,0),"")</f>
        <v/>
      </c>
      <c r="D117" s="27"/>
      <c r="E117" s="1" t="str">
        <f>IFERROR(VLOOKUP(D117,Каналы!$B:$D,3,0),"")</f>
        <v/>
      </c>
      <c r="F117" s="27"/>
      <c r="G117" s="27"/>
      <c r="H117" s="1" t="str">
        <f>IFERROR(VLOOKUP(K117,ЛБ!$C:$E,3,0),"")</f>
        <v/>
      </c>
      <c r="I117" s="27"/>
      <c r="J117" s="53"/>
      <c r="K117" s="27"/>
      <c r="L117" s="27"/>
      <c r="M117" s="27"/>
      <c r="N117" s="27"/>
      <c r="O117" s="5"/>
      <c r="P117" s="5"/>
      <c r="Q117" s="5"/>
      <c r="R117" s="5"/>
      <c r="S117" s="5"/>
      <c r="T117" s="5"/>
      <c r="U117" s="5"/>
      <c r="V117" s="5"/>
      <c r="W117" s="5"/>
      <c r="X117" s="41"/>
      <c r="Y117" s="41"/>
      <c r="Z117" s="41"/>
      <c r="AA117" s="4">
        <f si="29" t="shared"/>
        <v>0</v>
      </c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">
        <f si="30" t="shared"/>
        <v>0</v>
      </c>
      <c r="AO117" s="27"/>
      <c r="AP117" s="27"/>
      <c r="AQ117" s="42"/>
      <c r="AR117" s="42"/>
      <c r="AS117" s="42"/>
      <c r="AT117" s="42"/>
      <c r="AU117" s="27"/>
      <c r="AV117" s="27"/>
      <c r="AX117" s="41"/>
      <c r="AY117" s="41"/>
      <c r="AZ117" s="41"/>
    </row>
    <row r="118" spans="1:52" x14ac:dyDescent="0.2">
      <c r="A118" s="63" t="str">
        <f si="24" t="shared"/>
        <v>СКБСЖ</v>
      </c>
      <c r="B118" s="27" t="s">
        <v>4</v>
      </c>
      <c r="C118" s="1" t="str">
        <f>IFERROR(VLOOKUP(D118,Каналы!$B:$C,2,0),"")</f>
        <v/>
      </c>
      <c r="D118" s="27"/>
      <c r="E118" s="1" t="str">
        <f>IFERROR(VLOOKUP(D118,Каналы!$B:$D,3,0),"")</f>
        <v/>
      </c>
      <c r="F118" s="27"/>
      <c r="G118" s="27"/>
      <c r="H118" s="1" t="str">
        <f>IFERROR(VLOOKUP(K118,ЛБ!$C:$E,3,0),"")</f>
        <v/>
      </c>
      <c r="I118" s="27"/>
      <c r="J118" s="53"/>
      <c r="K118" s="27"/>
      <c r="L118" s="27"/>
      <c r="M118" s="27"/>
      <c r="N118" s="27"/>
      <c r="O118" s="5"/>
      <c r="P118" s="5"/>
      <c r="Q118" s="5"/>
      <c r="R118" s="5"/>
      <c r="S118" s="5"/>
      <c r="T118" s="5"/>
      <c r="U118" s="5"/>
      <c r="V118" s="5"/>
      <c r="W118" s="5"/>
      <c r="X118" s="41"/>
      <c r="Y118" s="41"/>
      <c r="Z118" s="41"/>
      <c r="AA118" s="4">
        <f si="29" t="shared"/>
        <v>0</v>
      </c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">
        <f si="30" t="shared"/>
        <v>0</v>
      </c>
      <c r="AO118" s="27"/>
      <c r="AP118" s="27"/>
      <c r="AQ118" s="42"/>
      <c r="AR118" s="42"/>
      <c r="AS118" s="42"/>
      <c r="AT118" s="42"/>
      <c r="AU118" s="27"/>
      <c r="AV118" s="27"/>
      <c r="AX118" s="41"/>
      <c r="AY118" s="41"/>
      <c r="AZ118" s="41"/>
    </row>
    <row r="119" spans="1:52" x14ac:dyDescent="0.2">
      <c r="A119" s="63" t="str">
        <f si="24" t="shared"/>
        <v>СКБСЖ</v>
      </c>
      <c r="B119" s="27" t="s">
        <v>4</v>
      </c>
      <c r="C119" s="1" t="str">
        <f>IFERROR(VLOOKUP(D119,Каналы!$B:$C,2,0),"")</f>
        <v/>
      </c>
      <c r="D119" s="27"/>
      <c r="E119" s="1" t="str">
        <f>IFERROR(VLOOKUP(D119,Каналы!$B:$D,3,0),"")</f>
        <v/>
      </c>
      <c r="F119" s="27"/>
      <c r="G119" s="27"/>
      <c r="H119" s="1" t="str">
        <f>IFERROR(VLOOKUP(K119,ЛБ!$C:$E,3,0),"")</f>
        <v/>
      </c>
      <c r="I119" s="27"/>
      <c r="J119" s="53"/>
      <c r="K119" s="27"/>
      <c r="L119" s="27"/>
      <c r="M119" s="27"/>
      <c r="N119" s="27"/>
      <c r="O119" s="5"/>
      <c r="P119" s="5"/>
      <c r="Q119" s="5"/>
      <c r="R119" s="5"/>
      <c r="S119" s="5"/>
      <c r="T119" s="5"/>
      <c r="U119" s="5"/>
      <c r="V119" s="5"/>
      <c r="W119" s="5"/>
      <c r="X119" s="41"/>
      <c r="Y119" s="41"/>
      <c r="Z119" s="41"/>
      <c r="AA119" s="4">
        <f si="29" t="shared"/>
        <v>0</v>
      </c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">
        <f si="30" t="shared"/>
        <v>0</v>
      </c>
      <c r="AO119" s="27"/>
      <c r="AP119" s="27"/>
      <c r="AQ119" s="42"/>
      <c r="AR119" s="42"/>
      <c r="AS119" s="42"/>
      <c r="AT119" s="42"/>
      <c r="AU119" s="27"/>
      <c r="AV119" s="27"/>
      <c r="AX119" s="41"/>
      <c r="AY119" s="41"/>
      <c r="AZ119" s="41"/>
    </row>
    <row r="120" spans="1:52" x14ac:dyDescent="0.2">
      <c r="A120" s="63" t="str">
        <f si="24" t="shared"/>
        <v>СКБСЖ</v>
      </c>
      <c r="B120" s="27" t="s">
        <v>4</v>
      </c>
      <c r="C120" s="1" t="str">
        <f>IFERROR(VLOOKUP(D120,Каналы!$B:$C,2,0),"")</f>
        <v/>
      </c>
      <c r="D120" s="27"/>
      <c r="E120" s="1" t="str">
        <f>IFERROR(VLOOKUP(D120,Каналы!$B:$D,3,0),"")</f>
        <v/>
      </c>
      <c r="F120" s="27"/>
      <c r="G120" s="27"/>
      <c r="H120" s="1" t="str">
        <f>IFERROR(VLOOKUP(K120,ЛБ!$C:$E,3,0),"")</f>
        <v/>
      </c>
      <c r="I120" s="27"/>
      <c r="J120" s="53"/>
      <c r="K120" s="27"/>
      <c r="L120" s="27"/>
      <c r="M120" s="27"/>
      <c r="N120" s="27"/>
      <c r="O120" s="5"/>
      <c r="P120" s="5"/>
      <c r="Q120" s="5"/>
      <c r="R120" s="5"/>
      <c r="S120" s="5"/>
      <c r="T120" s="5"/>
      <c r="U120" s="5"/>
      <c r="V120" s="5"/>
      <c r="W120" s="5"/>
      <c r="X120" s="41"/>
      <c r="Y120" s="41"/>
      <c r="Z120" s="41"/>
      <c r="AA120" s="4">
        <f si="29" t="shared"/>
        <v>0</v>
      </c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">
        <f si="30" t="shared"/>
        <v>0</v>
      </c>
      <c r="AO120" s="27"/>
      <c r="AP120" s="27"/>
      <c r="AQ120" s="42"/>
      <c r="AR120" s="42"/>
      <c r="AS120" s="42"/>
      <c r="AT120" s="42"/>
      <c r="AU120" s="27"/>
      <c r="AV120" s="27"/>
      <c r="AX120" s="41"/>
      <c r="AY120" s="41"/>
      <c r="AZ120" s="41"/>
    </row>
    <row r="121" spans="1:52" x14ac:dyDescent="0.2">
      <c r="A121" s="63" t="str">
        <f si="24" t="shared"/>
        <v>СКБСЖ</v>
      </c>
      <c r="B121" s="27" t="s">
        <v>4</v>
      </c>
      <c r="C121" s="1" t="str">
        <f>IFERROR(VLOOKUP(D121,Каналы!$B:$C,2,0),"")</f>
        <v/>
      </c>
      <c r="D121" s="27"/>
      <c r="E121" s="1" t="str">
        <f>IFERROR(VLOOKUP(D121,Каналы!$B:$D,3,0),"")</f>
        <v/>
      </c>
      <c r="F121" s="27"/>
      <c r="G121" s="27"/>
      <c r="H121" s="1" t="str">
        <f>IFERROR(VLOOKUP(K121,ЛБ!$C:$E,3,0),"")</f>
        <v/>
      </c>
      <c r="I121" s="27"/>
      <c r="J121" s="53"/>
      <c r="K121" s="27"/>
      <c r="L121" s="27"/>
      <c r="M121" s="27"/>
      <c r="N121" s="27"/>
      <c r="O121" s="5"/>
      <c r="P121" s="5"/>
      <c r="Q121" s="5"/>
      <c r="R121" s="5"/>
      <c r="S121" s="5"/>
      <c r="T121" s="5"/>
      <c r="U121" s="5"/>
      <c r="V121" s="5"/>
      <c r="W121" s="5"/>
      <c r="X121" s="41"/>
      <c r="Y121" s="41"/>
      <c r="Z121" s="41"/>
      <c r="AA121" s="4">
        <f si="29" t="shared"/>
        <v>0</v>
      </c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">
        <f si="30" t="shared"/>
        <v>0</v>
      </c>
      <c r="AO121" s="27"/>
      <c r="AP121" s="27"/>
      <c r="AQ121" s="42"/>
      <c r="AR121" s="42"/>
      <c r="AS121" s="42"/>
      <c r="AT121" s="42"/>
      <c r="AU121" s="27"/>
      <c r="AV121" s="27"/>
      <c r="AX121" s="41"/>
      <c r="AY121" s="41"/>
      <c r="AZ121" s="41"/>
    </row>
    <row r="122" spans="1:52" x14ac:dyDescent="0.2">
      <c r="A122" s="63" t="str">
        <f si="24" t="shared"/>
        <v>СКБСЖ</v>
      </c>
      <c r="B122" s="27" t="s">
        <v>4</v>
      </c>
      <c r="C122" s="1" t="str">
        <f>IFERROR(VLOOKUP(D122,Каналы!$B:$C,2,0),"")</f>
        <v/>
      </c>
      <c r="D122" s="27"/>
      <c r="E122" s="1" t="str">
        <f>IFERROR(VLOOKUP(D122,Каналы!$B:$D,3,0),"")</f>
        <v/>
      </c>
      <c r="F122" s="27"/>
      <c r="G122" s="27"/>
      <c r="H122" s="1" t="str">
        <f>IFERROR(VLOOKUP(K122,ЛБ!$C:$E,3,0),"")</f>
        <v/>
      </c>
      <c r="I122" s="27"/>
      <c r="J122" s="53"/>
      <c r="K122" s="27"/>
      <c r="L122" s="27"/>
      <c r="M122" s="27"/>
      <c r="N122" s="27"/>
      <c r="O122" s="5"/>
      <c r="P122" s="5"/>
      <c r="Q122" s="5"/>
      <c r="R122" s="5"/>
      <c r="S122" s="5"/>
      <c r="T122" s="5"/>
      <c r="U122" s="5"/>
      <c r="V122" s="5"/>
      <c r="W122" s="5"/>
      <c r="X122" s="41"/>
      <c r="Y122" s="41"/>
      <c r="Z122" s="41"/>
      <c r="AA122" s="4">
        <f si="29" t="shared"/>
        <v>0</v>
      </c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">
        <f si="30" t="shared"/>
        <v>0</v>
      </c>
      <c r="AO122" s="27"/>
      <c r="AP122" s="27"/>
      <c r="AQ122" s="42"/>
      <c r="AR122" s="42"/>
      <c r="AS122" s="42"/>
      <c r="AT122" s="42"/>
      <c r="AU122" s="27"/>
      <c r="AV122" s="27"/>
      <c r="AX122" s="41"/>
      <c r="AY122" s="41"/>
      <c r="AZ122" s="41"/>
    </row>
    <row r="123" spans="1:52" x14ac:dyDescent="0.2">
      <c r="A123" s="63" t="str">
        <f si="24" t="shared"/>
        <v>СКБСЖ</v>
      </c>
      <c r="B123" s="27" t="s">
        <v>4</v>
      </c>
      <c r="C123" s="1" t="str">
        <f>IFERROR(VLOOKUP(D123,Каналы!$B:$C,2,0),"")</f>
        <v/>
      </c>
      <c r="D123" s="27"/>
      <c r="E123" s="1" t="str">
        <f>IFERROR(VLOOKUP(D123,Каналы!$B:$D,3,0),"")</f>
        <v/>
      </c>
      <c r="F123" s="27"/>
      <c r="G123" s="27"/>
      <c r="H123" s="1" t="str">
        <f>IFERROR(VLOOKUP(K123,ЛБ!$C:$E,3,0),"")</f>
        <v/>
      </c>
      <c r="I123" s="27"/>
      <c r="J123" s="53"/>
      <c r="K123" s="27"/>
      <c r="L123" s="27"/>
      <c r="M123" s="27"/>
      <c r="N123" s="27"/>
      <c r="O123" s="5"/>
      <c r="P123" s="5"/>
      <c r="Q123" s="5"/>
      <c r="R123" s="5"/>
      <c r="S123" s="5"/>
      <c r="T123" s="5"/>
      <c r="U123" s="5"/>
      <c r="V123" s="5"/>
      <c r="W123" s="5"/>
      <c r="X123" s="41"/>
      <c r="Y123" s="41"/>
      <c r="Z123" s="41"/>
      <c r="AA123" s="4">
        <f si="29" t="shared"/>
        <v>0</v>
      </c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">
        <f si="30" t="shared"/>
        <v>0</v>
      </c>
      <c r="AO123" s="27"/>
      <c r="AP123" s="27"/>
      <c r="AQ123" s="42"/>
      <c r="AR123" s="42"/>
      <c r="AS123" s="42"/>
      <c r="AT123" s="42"/>
      <c r="AU123" s="27"/>
      <c r="AV123" s="27"/>
      <c r="AX123" s="41"/>
      <c r="AY123" s="41"/>
      <c r="AZ123" s="41"/>
    </row>
    <row r="124" spans="1:52" x14ac:dyDescent="0.2">
      <c r="A124" s="63" t="str">
        <f si="24" t="shared"/>
        <v>СКБСЖ</v>
      </c>
      <c r="B124" s="27" t="s">
        <v>4</v>
      </c>
      <c r="C124" s="1" t="str">
        <f>IFERROR(VLOOKUP(D124,Каналы!$B:$C,2,0),"")</f>
        <v/>
      </c>
      <c r="D124" s="27"/>
      <c r="E124" s="1" t="str">
        <f>IFERROR(VLOOKUP(D124,Каналы!$B:$D,3,0),"")</f>
        <v/>
      </c>
      <c r="F124" s="27"/>
      <c r="G124" s="27"/>
      <c r="H124" s="1" t="str">
        <f>IFERROR(VLOOKUP(K124,ЛБ!$C:$E,3,0),"")</f>
        <v/>
      </c>
      <c r="I124" s="27"/>
      <c r="J124" s="53"/>
      <c r="K124" s="27"/>
      <c r="L124" s="27"/>
      <c r="M124" s="27"/>
      <c r="N124" s="27"/>
      <c r="O124" s="5"/>
      <c r="P124" s="5"/>
      <c r="Q124" s="5"/>
      <c r="R124" s="5"/>
      <c r="S124" s="5"/>
      <c r="T124" s="5"/>
      <c r="U124" s="5"/>
      <c r="V124" s="5"/>
      <c r="W124" s="5"/>
      <c r="X124" s="41"/>
      <c r="Y124" s="41"/>
      <c r="Z124" s="41"/>
      <c r="AA124" s="4">
        <f si="29" t="shared"/>
        <v>0</v>
      </c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">
        <f si="30" t="shared"/>
        <v>0</v>
      </c>
      <c r="AO124" s="27"/>
      <c r="AP124" s="27"/>
      <c r="AQ124" s="42"/>
      <c r="AR124" s="42"/>
      <c r="AS124" s="42"/>
      <c r="AT124" s="42"/>
      <c r="AU124" s="27"/>
      <c r="AV124" s="27"/>
      <c r="AX124" s="41"/>
      <c r="AY124" s="41"/>
      <c r="AZ124" s="41"/>
    </row>
    <row r="125" spans="1:52" x14ac:dyDescent="0.2">
      <c r="A125" s="63" t="str">
        <f si="24" t="shared"/>
        <v>СКБСЖ</v>
      </c>
      <c r="B125" s="27" t="s">
        <v>4</v>
      </c>
      <c r="C125" s="1" t="str">
        <f>IFERROR(VLOOKUP(D125,Каналы!$B:$C,2,0),"")</f>
        <v/>
      </c>
      <c r="D125" s="27"/>
      <c r="E125" s="1" t="str">
        <f>IFERROR(VLOOKUP(D125,Каналы!$B:$D,3,0),"")</f>
        <v/>
      </c>
      <c r="F125" s="27"/>
      <c r="G125" s="27"/>
      <c r="H125" s="1" t="str">
        <f>IFERROR(VLOOKUP(K125,ЛБ!$C:$E,3,0),"")</f>
        <v/>
      </c>
      <c r="I125" s="27"/>
      <c r="J125" s="53"/>
      <c r="K125" s="27"/>
      <c r="L125" s="27"/>
      <c r="M125" s="27"/>
      <c r="N125" s="27"/>
      <c r="O125" s="5"/>
      <c r="P125" s="5"/>
      <c r="Q125" s="5"/>
      <c r="R125" s="5"/>
      <c r="S125" s="5"/>
      <c r="T125" s="5"/>
      <c r="U125" s="5"/>
      <c r="V125" s="5"/>
      <c r="W125" s="5"/>
      <c r="X125" s="41"/>
      <c r="Y125" s="41"/>
      <c r="Z125" s="41"/>
      <c r="AA125" s="4">
        <f si="29" t="shared"/>
        <v>0</v>
      </c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">
        <f si="30" t="shared"/>
        <v>0</v>
      </c>
      <c r="AO125" s="27"/>
      <c r="AP125" s="27"/>
      <c r="AQ125" s="42"/>
      <c r="AR125" s="42"/>
      <c r="AS125" s="42"/>
      <c r="AT125" s="42"/>
      <c r="AU125" s="27"/>
      <c r="AV125" s="27"/>
      <c r="AX125" s="41"/>
      <c r="AY125" s="41"/>
      <c r="AZ125" s="41"/>
    </row>
    <row r="126" spans="1:52" x14ac:dyDescent="0.2">
      <c r="A126" s="63" t="str">
        <f si="24" t="shared"/>
        <v>СКБСЖ</v>
      </c>
      <c r="B126" s="27" t="s">
        <v>4</v>
      </c>
      <c r="C126" s="1" t="str">
        <f>IFERROR(VLOOKUP(D126,Каналы!$B:$C,2,0),"")</f>
        <v/>
      </c>
      <c r="D126" s="27"/>
      <c r="E126" s="1" t="str">
        <f>IFERROR(VLOOKUP(D126,Каналы!$B:$D,3,0),"")</f>
        <v/>
      </c>
      <c r="F126" s="27"/>
      <c r="G126" s="27"/>
      <c r="H126" s="1" t="str">
        <f>IFERROR(VLOOKUP(K126,ЛБ!$C:$E,3,0),"")</f>
        <v/>
      </c>
      <c r="I126" s="27"/>
      <c r="J126" s="53"/>
      <c r="K126" s="27"/>
      <c r="L126" s="27"/>
      <c r="M126" s="27"/>
      <c r="N126" s="27"/>
      <c r="O126" s="5"/>
      <c r="P126" s="5"/>
      <c r="Q126" s="5"/>
      <c r="R126" s="5"/>
      <c r="S126" s="5"/>
      <c r="T126" s="5"/>
      <c r="U126" s="5"/>
      <c r="V126" s="5"/>
      <c r="W126" s="5"/>
      <c r="X126" s="41"/>
      <c r="Y126" s="41"/>
      <c r="Z126" s="41"/>
      <c r="AA126" s="4">
        <f si="29" t="shared"/>
        <v>0</v>
      </c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">
        <f si="30" t="shared"/>
        <v>0</v>
      </c>
      <c r="AO126" s="27"/>
      <c r="AP126" s="27"/>
      <c r="AQ126" s="42"/>
      <c r="AR126" s="42"/>
      <c r="AS126" s="42"/>
      <c r="AT126" s="42"/>
      <c r="AU126" s="27"/>
      <c r="AV126" s="27"/>
      <c r="AX126" s="41"/>
      <c r="AY126" s="41"/>
      <c r="AZ126" s="41"/>
    </row>
    <row r="127" spans="1:52" x14ac:dyDescent="0.2">
      <c r="A127" s="63" t="str">
        <f si="24" t="shared"/>
        <v>СКБСЖ</v>
      </c>
      <c r="B127" s="27" t="s">
        <v>4</v>
      </c>
      <c r="C127" s="1" t="str">
        <f>IFERROR(VLOOKUP(D127,Каналы!$B:$C,2,0),"")</f>
        <v/>
      </c>
      <c r="D127" s="27"/>
      <c r="E127" s="1" t="str">
        <f>IFERROR(VLOOKUP(D127,Каналы!$B:$D,3,0),"")</f>
        <v/>
      </c>
      <c r="F127" s="27"/>
      <c r="G127" s="27"/>
      <c r="H127" s="1" t="str">
        <f>IFERROR(VLOOKUP(K127,ЛБ!$C:$E,3,0),"")</f>
        <v/>
      </c>
      <c r="I127" s="27"/>
      <c r="J127" s="53"/>
      <c r="K127" s="27"/>
      <c r="L127" s="27"/>
      <c r="M127" s="27"/>
      <c r="N127" s="27"/>
      <c r="O127" s="5"/>
      <c r="P127" s="5"/>
      <c r="Q127" s="5"/>
      <c r="R127" s="5"/>
      <c r="S127" s="5"/>
      <c r="T127" s="5"/>
      <c r="U127" s="5"/>
      <c r="V127" s="5"/>
      <c r="W127" s="5"/>
      <c r="X127" s="41"/>
      <c r="Y127" s="41"/>
      <c r="Z127" s="41"/>
      <c r="AA127" s="4">
        <f si="29" t="shared"/>
        <v>0</v>
      </c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">
        <f si="30" t="shared"/>
        <v>0</v>
      </c>
      <c r="AO127" s="27"/>
      <c r="AP127" s="27"/>
      <c r="AQ127" s="42"/>
      <c r="AR127" s="42"/>
      <c r="AS127" s="42"/>
      <c r="AT127" s="42"/>
      <c r="AU127" s="27"/>
      <c r="AV127" s="27"/>
      <c r="AX127" s="41"/>
      <c r="AY127" s="41"/>
      <c r="AZ127" s="41"/>
    </row>
    <row r="128" spans="1:52" x14ac:dyDescent="0.2">
      <c r="A128" s="63" t="str">
        <f si="24" t="shared"/>
        <v>СКБСЖ</v>
      </c>
      <c r="B128" s="27" t="s">
        <v>4</v>
      </c>
      <c r="C128" s="1" t="str">
        <f>IFERROR(VLOOKUP(D128,Каналы!$B:$C,2,0),"")</f>
        <v/>
      </c>
      <c r="D128" s="27"/>
      <c r="E128" s="1" t="str">
        <f>IFERROR(VLOOKUP(D128,Каналы!$B:$D,3,0),"")</f>
        <v/>
      </c>
      <c r="F128" s="27"/>
      <c r="G128" s="27"/>
      <c r="H128" s="1" t="str">
        <f>IFERROR(VLOOKUP(K128,ЛБ!$C:$E,3,0),"")</f>
        <v/>
      </c>
      <c r="I128" s="27"/>
      <c r="J128" s="53"/>
      <c r="K128" s="27"/>
      <c r="L128" s="27"/>
      <c r="M128" s="27"/>
      <c r="N128" s="27"/>
      <c r="O128" s="5"/>
      <c r="P128" s="5"/>
      <c r="Q128" s="5"/>
      <c r="R128" s="5"/>
      <c r="S128" s="5"/>
      <c r="T128" s="5"/>
      <c r="U128" s="5"/>
      <c r="V128" s="5"/>
      <c r="W128" s="5"/>
      <c r="X128" s="41"/>
      <c r="Y128" s="41"/>
      <c r="Z128" s="41"/>
      <c r="AA128" s="4">
        <f si="29" t="shared"/>
        <v>0</v>
      </c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">
        <f si="30" t="shared"/>
        <v>0</v>
      </c>
      <c r="AO128" s="27"/>
      <c r="AP128" s="27"/>
      <c r="AQ128" s="42"/>
      <c r="AR128" s="42"/>
      <c r="AS128" s="42"/>
      <c r="AT128" s="42"/>
      <c r="AU128" s="27"/>
      <c r="AV128" s="27"/>
      <c r="AX128" s="41"/>
      <c r="AY128" s="41"/>
      <c r="AZ128" s="41"/>
    </row>
    <row r="129" spans="1:52" x14ac:dyDescent="0.2">
      <c r="A129" s="63" t="str">
        <f si="24" t="shared"/>
        <v>СКБСЖ</v>
      </c>
      <c r="B129" s="27" t="s">
        <v>4</v>
      </c>
      <c r="C129" s="1" t="str">
        <f>IFERROR(VLOOKUP(D129,Каналы!$B:$C,2,0),"")</f>
        <v/>
      </c>
      <c r="D129" s="27"/>
      <c r="E129" s="1" t="str">
        <f>IFERROR(VLOOKUP(D129,Каналы!$B:$D,3,0),"")</f>
        <v/>
      </c>
      <c r="F129" s="27"/>
      <c r="G129" s="27"/>
      <c r="H129" s="1" t="str">
        <f>IFERROR(VLOOKUP(K129,ЛБ!$C:$E,3,0),"")</f>
        <v/>
      </c>
      <c r="I129" s="27"/>
      <c r="J129" s="53"/>
      <c r="K129" s="27"/>
      <c r="L129" s="27"/>
      <c r="M129" s="27"/>
      <c r="N129" s="27"/>
      <c r="O129" s="5"/>
      <c r="P129" s="5"/>
      <c r="Q129" s="5"/>
      <c r="R129" s="5"/>
      <c r="S129" s="5"/>
      <c r="T129" s="5"/>
      <c r="U129" s="5"/>
      <c r="V129" s="5"/>
      <c r="W129" s="5"/>
      <c r="X129" s="41"/>
      <c r="Y129" s="41"/>
      <c r="Z129" s="41"/>
      <c r="AA129" s="4">
        <f si="29" t="shared"/>
        <v>0</v>
      </c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">
        <f si="30" t="shared"/>
        <v>0</v>
      </c>
      <c r="AO129" s="27"/>
      <c r="AP129" s="27"/>
      <c r="AQ129" s="42"/>
      <c r="AR129" s="42"/>
      <c r="AS129" s="42"/>
      <c r="AT129" s="42"/>
      <c r="AU129" s="27"/>
      <c r="AV129" s="27"/>
      <c r="AX129" s="41"/>
      <c r="AY129" s="41"/>
      <c r="AZ129" s="41"/>
    </row>
    <row r="130" spans="1:52" x14ac:dyDescent="0.2">
      <c r="A130" s="63" t="str">
        <f si="24" t="shared"/>
        <v>СКБСЖ</v>
      </c>
      <c r="B130" s="27" t="s">
        <v>4</v>
      </c>
      <c r="C130" s="1" t="str">
        <f>IFERROR(VLOOKUP(D130,Каналы!$B:$C,2,0),"")</f>
        <v/>
      </c>
      <c r="D130" s="27"/>
      <c r="E130" s="1" t="str">
        <f>IFERROR(VLOOKUP(D130,Каналы!$B:$D,3,0),"")</f>
        <v/>
      </c>
      <c r="F130" s="27"/>
      <c r="G130" s="27"/>
      <c r="H130" s="1" t="str">
        <f>IFERROR(VLOOKUP(K130,ЛБ!$C:$E,3,0),"")</f>
        <v/>
      </c>
      <c r="I130" s="27"/>
      <c r="J130" s="53"/>
      <c r="K130" s="27"/>
      <c r="L130" s="27"/>
      <c r="M130" s="27"/>
      <c r="N130" s="27"/>
      <c r="O130" s="5"/>
      <c r="P130" s="5"/>
      <c r="Q130" s="5"/>
      <c r="R130" s="5"/>
      <c r="S130" s="5"/>
      <c r="T130" s="5"/>
      <c r="U130" s="5"/>
      <c r="V130" s="5"/>
      <c r="W130" s="5"/>
      <c r="X130" s="41"/>
      <c r="Y130" s="41"/>
      <c r="Z130" s="41"/>
      <c r="AA130" s="4">
        <f si="29" t="shared"/>
        <v>0</v>
      </c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">
        <f si="30" t="shared"/>
        <v>0</v>
      </c>
      <c r="AO130" s="27"/>
      <c r="AP130" s="27"/>
      <c r="AQ130" s="42"/>
      <c r="AR130" s="42"/>
      <c r="AS130" s="42"/>
      <c r="AT130" s="42"/>
      <c r="AU130" s="27"/>
      <c r="AV130" s="27"/>
      <c r="AX130" s="41"/>
      <c r="AY130" s="41"/>
      <c r="AZ130" s="41"/>
    </row>
    <row r="131" spans="1:52" x14ac:dyDescent="0.2">
      <c r="A131" s="63" t="str">
        <f si="24" t="shared"/>
        <v>СКБСЖ</v>
      </c>
      <c r="B131" s="27" t="s">
        <v>4</v>
      </c>
      <c r="C131" s="1" t="str">
        <f>IFERROR(VLOOKUP(D131,Каналы!$B:$C,2,0),"")</f>
        <v/>
      </c>
      <c r="D131" s="27"/>
      <c r="E131" s="1" t="str">
        <f>IFERROR(VLOOKUP(D131,Каналы!$B:$D,3,0),"")</f>
        <v/>
      </c>
      <c r="F131" s="27"/>
      <c r="G131" s="27"/>
      <c r="H131" s="1" t="str">
        <f>IFERROR(VLOOKUP(K131,ЛБ!$C:$E,3,0),"")</f>
        <v/>
      </c>
      <c r="I131" s="27"/>
      <c r="J131" s="53"/>
      <c r="K131" s="27"/>
      <c r="L131" s="27"/>
      <c r="M131" s="27"/>
      <c r="N131" s="27"/>
      <c r="O131" s="5"/>
      <c r="P131" s="5"/>
      <c r="Q131" s="5"/>
      <c r="R131" s="5"/>
      <c r="S131" s="5"/>
      <c r="T131" s="5"/>
      <c r="U131" s="5"/>
      <c r="V131" s="5"/>
      <c r="W131" s="5"/>
      <c r="X131" s="41"/>
      <c r="Y131" s="41"/>
      <c r="Z131" s="41"/>
      <c r="AA131" s="4">
        <f si="29" t="shared"/>
        <v>0</v>
      </c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">
        <f si="30" t="shared"/>
        <v>0</v>
      </c>
      <c r="AO131" s="27"/>
      <c r="AP131" s="27"/>
      <c r="AQ131" s="42"/>
      <c r="AR131" s="42"/>
      <c r="AS131" s="42"/>
      <c r="AT131" s="42"/>
      <c r="AU131" s="27"/>
      <c r="AV131" s="27"/>
      <c r="AX131" s="41"/>
      <c r="AY131" s="41"/>
      <c r="AZ131" s="41"/>
    </row>
    <row r="132" spans="1:52" x14ac:dyDescent="0.2">
      <c r="A132" s="63" t="str">
        <f si="24" t="shared"/>
        <v>СКБСЖ</v>
      </c>
      <c r="B132" s="27" t="s">
        <v>4</v>
      </c>
      <c r="C132" s="1" t="str">
        <f>IFERROR(VLOOKUP(D132,Каналы!$B:$C,2,0),"")</f>
        <v/>
      </c>
      <c r="D132" s="27"/>
      <c r="E132" s="1" t="str">
        <f>IFERROR(VLOOKUP(D132,Каналы!$B:$D,3,0),"")</f>
        <v/>
      </c>
      <c r="F132" s="27"/>
      <c r="G132" s="27"/>
      <c r="H132" s="1" t="str">
        <f>IFERROR(VLOOKUP(K132,ЛБ!$C:$E,3,0),"")</f>
        <v/>
      </c>
      <c r="I132" s="27"/>
      <c r="J132" s="53"/>
      <c r="K132" s="27"/>
      <c r="L132" s="27"/>
      <c r="M132" s="27"/>
      <c r="N132" s="27"/>
      <c r="O132" s="5"/>
      <c r="P132" s="5"/>
      <c r="Q132" s="5"/>
      <c r="R132" s="5"/>
      <c r="S132" s="5"/>
      <c r="T132" s="5"/>
      <c r="U132" s="5"/>
      <c r="V132" s="5"/>
      <c r="W132" s="5"/>
      <c r="X132" s="41"/>
      <c r="Y132" s="41"/>
      <c r="Z132" s="41"/>
      <c r="AA132" s="4">
        <f si="29" t="shared"/>
        <v>0</v>
      </c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">
        <f si="30" t="shared"/>
        <v>0</v>
      </c>
      <c r="AO132" s="27"/>
      <c r="AP132" s="27"/>
      <c r="AQ132" s="42"/>
      <c r="AR132" s="42"/>
      <c r="AS132" s="42"/>
      <c r="AT132" s="42"/>
      <c r="AU132" s="27"/>
      <c r="AV132" s="27"/>
      <c r="AX132" s="41"/>
      <c r="AY132" s="41"/>
      <c r="AZ132" s="41"/>
    </row>
    <row r="133" spans="1:52" x14ac:dyDescent="0.2">
      <c r="A133" s="63" t="str">
        <f si="24" t="shared"/>
        <v>СКБСЖ</v>
      </c>
      <c r="B133" s="27" t="s">
        <v>4</v>
      </c>
      <c r="C133" s="1" t="str">
        <f>IFERROR(VLOOKUP(D133,Каналы!$B:$C,2,0),"")</f>
        <v/>
      </c>
      <c r="D133" s="27"/>
      <c r="E133" s="1" t="str">
        <f>IFERROR(VLOOKUP(D133,Каналы!$B:$D,3,0),"")</f>
        <v/>
      </c>
      <c r="F133" s="27"/>
      <c r="G133" s="27"/>
      <c r="H133" s="1" t="str">
        <f>IFERROR(VLOOKUP(K133,ЛБ!$C:$E,3,0),"")</f>
        <v/>
      </c>
      <c r="I133" s="27"/>
      <c r="J133" s="53"/>
      <c r="K133" s="27"/>
      <c r="L133" s="27"/>
      <c r="M133" s="27"/>
      <c r="N133" s="27"/>
      <c r="O133" s="5"/>
      <c r="P133" s="5"/>
      <c r="Q133" s="5"/>
      <c r="R133" s="5"/>
      <c r="S133" s="5"/>
      <c r="T133" s="5"/>
      <c r="U133" s="5"/>
      <c r="V133" s="5"/>
      <c r="W133" s="5"/>
      <c r="X133" s="41"/>
      <c r="Y133" s="41"/>
      <c r="Z133" s="41"/>
      <c r="AA133" s="4">
        <f si="29" t="shared"/>
        <v>0</v>
      </c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">
        <f si="30" t="shared"/>
        <v>0</v>
      </c>
      <c r="AO133" s="27"/>
      <c r="AP133" s="27"/>
      <c r="AQ133" s="42"/>
      <c r="AR133" s="42"/>
      <c r="AS133" s="42"/>
      <c r="AT133" s="42"/>
      <c r="AU133" s="27"/>
      <c r="AV133" s="27"/>
      <c r="AX133" s="41"/>
      <c r="AY133" s="41"/>
      <c r="AZ133" s="41"/>
    </row>
    <row r="134" spans="1:52" x14ac:dyDescent="0.2">
      <c r="A134" s="63" t="str">
        <f si="24" t="shared"/>
        <v>СКБСЖ</v>
      </c>
      <c r="B134" s="27" t="s">
        <v>4</v>
      </c>
      <c r="C134" s="1" t="str">
        <f>IFERROR(VLOOKUP(D134,Каналы!$B:$C,2,0),"")</f>
        <v/>
      </c>
      <c r="D134" s="27"/>
      <c r="E134" s="1" t="str">
        <f>IFERROR(VLOOKUP(D134,Каналы!$B:$D,3,0),"")</f>
        <v/>
      </c>
      <c r="F134" s="27"/>
      <c r="G134" s="27"/>
      <c r="H134" s="1" t="str">
        <f>IFERROR(VLOOKUP(K134,ЛБ!$C:$E,3,0),"")</f>
        <v/>
      </c>
      <c r="I134" s="27"/>
      <c r="J134" s="53"/>
      <c r="K134" s="27"/>
      <c r="L134" s="27"/>
      <c r="M134" s="27"/>
      <c r="N134" s="27"/>
      <c r="O134" s="5"/>
      <c r="P134" s="5"/>
      <c r="Q134" s="5"/>
      <c r="R134" s="5"/>
      <c r="S134" s="5"/>
      <c r="T134" s="5"/>
      <c r="U134" s="5"/>
      <c r="V134" s="5"/>
      <c r="W134" s="5"/>
      <c r="X134" s="41"/>
      <c r="Y134" s="41"/>
      <c r="Z134" s="41"/>
      <c r="AA134" s="4">
        <f si="29" t="shared"/>
        <v>0</v>
      </c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">
        <f si="30" t="shared"/>
        <v>0</v>
      </c>
      <c r="AO134" s="27"/>
      <c r="AP134" s="27"/>
      <c r="AQ134" s="42"/>
      <c r="AR134" s="42"/>
      <c r="AS134" s="42"/>
      <c r="AT134" s="42"/>
      <c r="AU134" s="27"/>
      <c r="AV134" s="27"/>
      <c r="AX134" s="41"/>
      <c r="AY134" s="41"/>
      <c r="AZ134" s="41"/>
    </row>
    <row r="135" spans="1:52" x14ac:dyDescent="0.2">
      <c r="A135" s="63" t="str">
        <f ref="A135:A161" si="34" t="shared">CONCATENATE(B135,C135,D135,E135,F135,G135,H135,I135,J135,K135,L135,M135,N135)</f>
        <v>СКБСЖ</v>
      </c>
      <c r="B135" s="27" t="s">
        <v>4</v>
      </c>
      <c r="C135" s="1" t="str">
        <f>IFERROR(VLOOKUP(D135,Каналы!$B:$C,2,0),"")</f>
        <v/>
      </c>
      <c r="D135" s="27"/>
      <c r="E135" s="1" t="str">
        <f>IFERROR(VLOOKUP(D135,Каналы!$B:$D,3,0),"")</f>
        <v/>
      </c>
      <c r="F135" s="27"/>
      <c r="G135" s="27"/>
      <c r="H135" s="1" t="str">
        <f>IFERROR(VLOOKUP(K135,ЛБ!$C:$E,3,0),"")</f>
        <v/>
      </c>
      <c r="I135" s="27"/>
      <c r="J135" s="53"/>
      <c r="K135" s="27"/>
      <c r="L135" s="27"/>
      <c r="M135" s="27"/>
      <c r="N135" s="27"/>
      <c r="O135" s="5"/>
      <c r="P135" s="5"/>
      <c r="Q135" s="5"/>
      <c r="R135" s="5"/>
      <c r="S135" s="5"/>
      <c r="T135" s="5"/>
      <c r="U135" s="5"/>
      <c r="V135" s="5"/>
      <c r="W135" s="5"/>
      <c r="X135" s="41"/>
      <c r="Y135" s="41"/>
      <c r="Z135" s="41"/>
      <c r="AA135" s="4">
        <f si="29" t="shared"/>
        <v>0</v>
      </c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">
        <f si="30" t="shared"/>
        <v>0</v>
      </c>
      <c r="AO135" s="27"/>
      <c r="AP135" s="27"/>
      <c r="AQ135" s="42"/>
      <c r="AR135" s="42"/>
      <c r="AS135" s="42"/>
      <c r="AT135" s="42"/>
      <c r="AU135" s="27"/>
      <c r="AV135" s="27"/>
      <c r="AX135" s="41"/>
      <c r="AY135" s="41"/>
      <c r="AZ135" s="41"/>
    </row>
    <row r="136" spans="1:52" x14ac:dyDescent="0.2">
      <c r="A136" s="63" t="str">
        <f si="34" t="shared"/>
        <v>СКБСЖ</v>
      </c>
      <c r="B136" s="27" t="s">
        <v>4</v>
      </c>
      <c r="C136" s="1" t="str">
        <f>IFERROR(VLOOKUP(D136,Каналы!$B:$C,2,0),"")</f>
        <v/>
      </c>
      <c r="D136" s="27"/>
      <c r="E136" s="1" t="str">
        <f>IFERROR(VLOOKUP(D136,Каналы!$B:$D,3,0),"")</f>
        <v/>
      </c>
      <c r="F136" s="27"/>
      <c r="G136" s="27"/>
      <c r="H136" s="1" t="str">
        <f>IFERROR(VLOOKUP(K136,ЛБ!$C:$E,3,0),"")</f>
        <v/>
      </c>
      <c r="I136" s="27"/>
      <c r="J136" s="53"/>
      <c r="K136" s="27"/>
      <c r="L136" s="27"/>
      <c r="M136" s="27"/>
      <c r="N136" s="27"/>
      <c r="O136" s="5"/>
      <c r="P136" s="5"/>
      <c r="Q136" s="5"/>
      <c r="R136" s="5"/>
      <c r="S136" s="5"/>
      <c r="T136" s="5"/>
      <c r="U136" s="5"/>
      <c r="V136" s="5"/>
      <c r="W136" s="5"/>
      <c r="X136" s="41"/>
      <c r="Y136" s="41"/>
      <c r="Z136" s="41"/>
      <c r="AA136" s="4">
        <f si="29" t="shared"/>
        <v>0</v>
      </c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">
        <f si="30" t="shared"/>
        <v>0</v>
      </c>
      <c r="AO136" s="27"/>
      <c r="AP136" s="27"/>
      <c r="AQ136" s="42"/>
      <c r="AR136" s="42"/>
      <c r="AS136" s="42"/>
      <c r="AT136" s="42"/>
      <c r="AU136" s="27"/>
      <c r="AV136" s="27"/>
      <c r="AX136" s="41"/>
      <c r="AY136" s="41"/>
      <c r="AZ136" s="41"/>
    </row>
    <row r="137" spans="1:52" x14ac:dyDescent="0.2">
      <c r="A137" s="63" t="str">
        <f si="34" t="shared"/>
        <v>СКБСЖ</v>
      </c>
      <c r="B137" s="27" t="s">
        <v>4</v>
      </c>
      <c r="C137" s="1" t="str">
        <f>IFERROR(VLOOKUP(D137,Каналы!$B:$C,2,0),"")</f>
        <v/>
      </c>
      <c r="D137" s="27"/>
      <c r="E137" s="1" t="str">
        <f>IFERROR(VLOOKUP(D137,Каналы!$B:$D,3,0),"")</f>
        <v/>
      </c>
      <c r="F137" s="27"/>
      <c r="G137" s="27"/>
      <c r="H137" s="1" t="str">
        <f>IFERROR(VLOOKUP(K137,ЛБ!$C:$E,3,0),"")</f>
        <v/>
      </c>
      <c r="I137" s="27"/>
      <c r="J137" s="53"/>
      <c r="K137" s="27"/>
      <c r="L137" s="27"/>
      <c r="M137" s="27"/>
      <c r="N137" s="27"/>
      <c r="O137" s="5"/>
      <c r="P137" s="5"/>
      <c r="Q137" s="5"/>
      <c r="R137" s="5"/>
      <c r="S137" s="5"/>
      <c r="T137" s="5"/>
      <c r="U137" s="5"/>
      <c r="V137" s="5"/>
      <c r="W137" s="5"/>
      <c r="X137" s="41"/>
      <c r="Y137" s="41"/>
      <c r="Z137" s="41"/>
      <c r="AA137" s="4">
        <f si="29" t="shared"/>
        <v>0</v>
      </c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">
        <f si="30" t="shared"/>
        <v>0</v>
      </c>
      <c r="AO137" s="27"/>
      <c r="AP137" s="27"/>
      <c r="AQ137" s="42"/>
      <c r="AR137" s="42"/>
      <c r="AS137" s="42"/>
      <c r="AT137" s="42"/>
      <c r="AU137" s="27"/>
      <c r="AV137" s="27"/>
      <c r="AX137" s="41"/>
      <c r="AY137" s="41"/>
      <c r="AZ137" s="41"/>
    </row>
    <row r="138" spans="1:52" x14ac:dyDescent="0.2">
      <c r="A138" s="63" t="str">
        <f si="34" t="shared"/>
        <v>СКБСЖ</v>
      </c>
      <c r="B138" s="27" t="s">
        <v>4</v>
      </c>
      <c r="C138" s="1" t="str">
        <f>IFERROR(VLOOKUP(D138,Каналы!$B:$C,2,0),"")</f>
        <v/>
      </c>
      <c r="D138" s="27"/>
      <c r="E138" s="1" t="str">
        <f>IFERROR(VLOOKUP(D138,Каналы!$B:$D,3,0),"")</f>
        <v/>
      </c>
      <c r="F138" s="27"/>
      <c r="G138" s="27"/>
      <c r="H138" s="1" t="str">
        <f>IFERROR(VLOOKUP(K138,ЛБ!$C:$E,3,0),"")</f>
        <v/>
      </c>
      <c r="I138" s="27"/>
      <c r="J138" s="53"/>
      <c r="K138" s="27"/>
      <c r="L138" s="27"/>
      <c r="M138" s="27"/>
      <c r="N138" s="27"/>
      <c r="O138" s="5"/>
      <c r="P138" s="5"/>
      <c r="Q138" s="5"/>
      <c r="R138" s="5"/>
      <c r="S138" s="5"/>
      <c r="T138" s="5"/>
      <c r="U138" s="5"/>
      <c r="V138" s="5"/>
      <c r="W138" s="5"/>
      <c r="X138" s="41"/>
      <c r="Y138" s="41"/>
      <c r="Z138" s="41"/>
      <c r="AA138" s="4">
        <f si="29" t="shared"/>
        <v>0</v>
      </c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">
        <f si="30" t="shared"/>
        <v>0</v>
      </c>
      <c r="AO138" s="27"/>
      <c r="AP138" s="27"/>
      <c r="AQ138" s="42"/>
      <c r="AR138" s="42"/>
      <c r="AS138" s="42"/>
      <c r="AT138" s="42"/>
      <c r="AU138" s="27"/>
      <c r="AV138" s="27"/>
      <c r="AX138" s="41"/>
      <c r="AY138" s="41"/>
      <c r="AZ138" s="41"/>
    </row>
    <row r="139" spans="1:52" x14ac:dyDescent="0.2">
      <c r="A139" s="63" t="str">
        <f si="34" t="shared"/>
        <v>СКБСЖ</v>
      </c>
      <c r="B139" s="27" t="s">
        <v>4</v>
      </c>
      <c r="C139" s="1" t="str">
        <f>IFERROR(VLOOKUP(D139,Каналы!$B:$C,2,0),"")</f>
        <v/>
      </c>
      <c r="D139" s="27"/>
      <c r="E139" s="1" t="str">
        <f>IFERROR(VLOOKUP(D139,Каналы!$B:$D,3,0),"")</f>
        <v/>
      </c>
      <c r="F139" s="27"/>
      <c r="G139" s="27"/>
      <c r="H139" s="1" t="str">
        <f>IFERROR(VLOOKUP(K139,ЛБ!$C:$E,3,0),"")</f>
        <v/>
      </c>
      <c r="I139" s="27"/>
      <c r="J139" s="53"/>
      <c r="K139" s="27"/>
      <c r="L139" s="27"/>
      <c r="M139" s="27"/>
      <c r="N139" s="27"/>
      <c r="O139" s="5"/>
      <c r="P139" s="5"/>
      <c r="Q139" s="5"/>
      <c r="R139" s="5"/>
      <c r="S139" s="5"/>
      <c r="T139" s="5"/>
      <c r="U139" s="5"/>
      <c r="V139" s="5"/>
      <c r="W139" s="5"/>
      <c r="X139" s="41"/>
      <c r="Y139" s="41"/>
      <c r="Z139" s="41"/>
      <c r="AA139" s="4">
        <f ref="AA139:AA161" si="35" t="shared">SUM(O139:Z139)</f>
        <v>0</v>
      </c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">
        <f ref="AN139:AN161" si="36" t="shared">SUM(AB139:AM139)</f>
        <v>0</v>
      </c>
      <c r="AO139" s="27"/>
      <c r="AP139" s="27"/>
      <c r="AQ139" s="42"/>
      <c r="AR139" s="42"/>
      <c r="AS139" s="42"/>
      <c r="AT139" s="42"/>
      <c r="AU139" s="27"/>
      <c r="AV139" s="27"/>
      <c r="AX139" s="41"/>
      <c r="AY139" s="41"/>
      <c r="AZ139" s="41"/>
    </row>
    <row r="140" spans="1:52" x14ac:dyDescent="0.2">
      <c r="A140" s="63" t="str">
        <f si="34" t="shared"/>
        <v>СКБСЖ</v>
      </c>
      <c r="B140" s="27" t="s">
        <v>4</v>
      </c>
      <c r="C140" s="1" t="str">
        <f>IFERROR(VLOOKUP(D140,Каналы!$B:$C,2,0),"")</f>
        <v/>
      </c>
      <c r="D140" s="27"/>
      <c r="E140" s="1" t="str">
        <f>IFERROR(VLOOKUP(D140,Каналы!$B:$D,3,0),"")</f>
        <v/>
      </c>
      <c r="F140" s="27"/>
      <c r="G140" s="27"/>
      <c r="H140" s="1" t="str">
        <f>IFERROR(VLOOKUP(K140,ЛБ!$C:$E,3,0),"")</f>
        <v/>
      </c>
      <c r="I140" s="27"/>
      <c r="J140" s="53"/>
      <c r="K140" s="27"/>
      <c r="L140" s="27"/>
      <c r="M140" s="27"/>
      <c r="N140" s="27"/>
      <c r="O140" s="5"/>
      <c r="P140" s="5"/>
      <c r="Q140" s="5"/>
      <c r="R140" s="5"/>
      <c r="S140" s="5"/>
      <c r="T140" s="5"/>
      <c r="U140" s="5"/>
      <c r="V140" s="5"/>
      <c r="W140" s="5"/>
      <c r="X140" s="41"/>
      <c r="Y140" s="41"/>
      <c r="Z140" s="41"/>
      <c r="AA140" s="4">
        <f si="35" t="shared"/>
        <v>0</v>
      </c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">
        <f si="36" t="shared"/>
        <v>0</v>
      </c>
      <c r="AO140" s="27"/>
      <c r="AP140" s="27"/>
      <c r="AQ140" s="42"/>
      <c r="AR140" s="42"/>
      <c r="AS140" s="42"/>
      <c r="AT140" s="42"/>
      <c r="AU140" s="27"/>
      <c r="AV140" s="27"/>
      <c r="AX140" s="41"/>
      <c r="AY140" s="41"/>
      <c r="AZ140" s="41"/>
    </row>
    <row r="141" spans="1:52" x14ac:dyDescent="0.2">
      <c r="A141" s="63" t="str">
        <f si="34" t="shared"/>
        <v>СКБСЖ</v>
      </c>
      <c r="B141" s="27" t="s">
        <v>4</v>
      </c>
      <c r="C141" s="1" t="str">
        <f>IFERROR(VLOOKUP(D141,Каналы!$B:$C,2,0),"")</f>
        <v/>
      </c>
      <c r="D141" s="27"/>
      <c r="E141" s="1" t="str">
        <f>IFERROR(VLOOKUP(D141,Каналы!$B:$D,3,0),"")</f>
        <v/>
      </c>
      <c r="F141" s="27"/>
      <c r="G141" s="27"/>
      <c r="H141" s="1" t="str">
        <f>IFERROR(VLOOKUP(K141,ЛБ!$C:$E,3,0),"")</f>
        <v/>
      </c>
      <c r="I141" s="27"/>
      <c r="J141" s="53"/>
      <c r="K141" s="27"/>
      <c r="L141" s="27"/>
      <c r="M141" s="27"/>
      <c r="N141" s="27"/>
      <c r="O141" s="5"/>
      <c r="P141" s="5"/>
      <c r="Q141" s="5"/>
      <c r="R141" s="5"/>
      <c r="S141" s="5"/>
      <c r="T141" s="5"/>
      <c r="U141" s="5"/>
      <c r="V141" s="5"/>
      <c r="W141" s="5"/>
      <c r="X141" s="41"/>
      <c r="Y141" s="41"/>
      <c r="Z141" s="41"/>
      <c r="AA141" s="4">
        <f si="35" t="shared"/>
        <v>0</v>
      </c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">
        <f si="36" t="shared"/>
        <v>0</v>
      </c>
      <c r="AO141" s="27"/>
      <c r="AP141" s="27"/>
      <c r="AQ141" s="42"/>
      <c r="AR141" s="42"/>
      <c r="AS141" s="42"/>
      <c r="AT141" s="42"/>
      <c r="AU141" s="27"/>
      <c r="AV141" s="27"/>
      <c r="AX141" s="41"/>
      <c r="AY141" s="41"/>
      <c r="AZ141" s="41"/>
    </row>
    <row r="142" spans="1:52" x14ac:dyDescent="0.2">
      <c r="A142" s="63" t="str">
        <f si="34" t="shared"/>
        <v>СКБСЖ</v>
      </c>
      <c r="B142" s="27" t="s">
        <v>4</v>
      </c>
      <c r="C142" s="1" t="str">
        <f>IFERROR(VLOOKUP(D142,Каналы!$B:$C,2,0),"")</f>
        <v/>
      </c>
      <c r="D142" s="27"/>
      <c r="E142" s="1" t="str">
        <f>IFERROR(VLOOKUP(D142,Каналы!$B:$D,3,0),"")</f>
        <v/>
      </c>
      <c r="F142" s="27"/>
      <c r="G142" s="27"/>
      <c r="H142" s="1" t="str">
        <f>IFERROR(VLOOKUP(K142,ЛБ!$C:$E,3,0),"")</f>
        <v/>
      </c>
      <c r="I142" s="27"/>
      <c r="J142" s="53"/>
      <c r="K142" s="27"/>
      <c r="L142" s="27"/>
      <c r="M142" s="27"/>
      <c r="N142" s="27"/>
      <c r="O142" s="5"/>
      <c r="P142" s="5"/>
      <c r="Q142" s="5"/>
      <c r="R142" s="5"/>
      <c r="S142" s="5"/>
      <c r="T142" s="5"/>
      <c r="U142" s="5"/>
      <c r="V142" s="5"/>
      <c r="W142" s="5"/>
      <c r="X142" s="41"/>
      <c r="Y142" s="41"/>
      <c r="Z142" s="41"/>
      <c r="AA142" s="4">
        <f si="35" t="shared"/>
        <v>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">
        <f si="36" t="shared"/>
        <v>0</v>
      </c>
      <c r="AO142" s="27"/>
      <c r="AP142" s="27"/>
      <c r="AQ142" s="42"/>
      <c r="AR142" s="42"/>
      <c r="AS142" s="42"/>
      <c r="AT142" s="42"/>
      <c r="AU142" s="27"/>
      <c r="AV142" s="27"/>
      <c r="AX142" s="41"/>
      <c r="AY142" s="41"/>
      <c r="AZ142" s="41"/>
    </row>
    <row r="143" spans="1:52" x14ac:dyDescent="0.2">
      <c r="A143" s="63" t="str">
        <f si="34" t="shared"/>
        <v>СКБСЖ</v>
      </c>
      <c r="B143" s="27" t="s">
        <v>4</v>
      </c>
      <c r="C143" s="1" t="str">
        <f>IFERROR(VLOOKUP(D143,Каналы!$B:$C,2,0),"")</f>
        <v/>
      </c>
      <c r="D143" s="27"/>
      <c r="E143" s="1" t="str">
        <f>IFERROR(VLOOKUP(D143,Каналы!$B:$D,3,0),"")</f>
        <v/>
      </c>
      <c r="F143" s="27"/>
      <c r="G143" s="27"/>
      <c r="H143" s="1" t="str">
        <f>IFERROR(VLOOKUP(K143,ЛБ!$C:$E,3,0),"")</f>
        <v/>
      </c>
      <c r="I143" s="27"/>
      <c r="J143" s="53"/>
      <c r="K143" s="27"/>
      <c r="L143" s="27"/>
      <c r="M143" s="27"/>
      <c r="N143" s="27"/>
      <c r="O143" s="5"/>
      <c r="P143" s="5"/>
      <c r="Q143" s="5"/>
      <c r="R143" s="5"/>
      <c r="S143" s="5"/>
      <c r="T143" s="5"/>
      <c r="U143" s="5"/>
      <c r="V143" s="5"/>
      <c r="W143" s="5"/>
      <c r="X143" s="41"/>
      <c r="Y143" s="41"/>
      <c r="Z143" s="41"/>
      <c r="AA143" s="4">
        <f si="35" t="shared"/>
        <v>0</v>
      </c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">
        <f si="36" t="shared"/>
        <v>0</v>
      </c>
      <c r="AO143" s="27"/>
      <c r="AP143" s="27"/>
      <c r="AQ143" s="42"/>
      <c r="AR143" s="42"/>
      <c r="AS143" s="42"/>
      <c r="AT143" s="42"/>
      <c r="AU143" s="27"/>
      <c r="AV143" s="27"/>
      <c r="AX143" s="41"/>
      <c r="AY143" s="41"/>
      <c r="AZ143" s="41"/>
    </row>
    <row r="144" spans="1:52" x14ac:dyDescent="0.2">
      <c r="A144" s="63" t="str">
        <f si="34" t="shared"/>
        <v>СКБСЖ</v>
      </c>
      <c r="B144" s="27" t="s">
        <v>4</v>
      </c>
      <c r="C144" s="1" t="str">
        <f>IFERROR(VLOOKUP(D144,Каналы!$B:$C,2,0),"")</f>
        <v/>
      </c>
      <c r="D144" s="27"/>
      <c r="E144" s="1" t="str">
        <f>IFERROR(VLOOKUP(D144,Каналы!$B:$D,3,0),"")</f>
        <v/>
      </c>
      <c r="F144" s="27"/>
      <c r="G144" s="27"/>
      <c r="H144" s="1" t="str">
        <f>IFERROR(VLOOKUP(K144,ЛБ!$C:$E,3,0),"")</f>
        <v/>
      </c>
      <c r="I144" s="27"/>
      <c r="J144" s="53"/>
      <c r="K144" s="27"/>
      <c r="L144" s="27"/>
      <c r="M144" s="27"/>
      <c r="N144" s="27"/>
      <c r="O144" s="5"/>
      <c r="P144" s="5"/>
      <c r="Q144" s="5"/>
      <c r="R144" s="5"/>
      <c r="S144" s="5"/>
      <c r="T144" s="5"/>
      <c r="U144" s="5"/>
      <c r="V144" s="5"/>
      <c r="W144" s="5"/>
      <c r="X144" s="41"/>
      <c r="Y144" s="41"/>
      <c r="Z144" s="41"/>
      <c r="AA144" s="4">
        <f si="35" t="shared"/>
        <v>0</v>
      </c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">
        <f si="36" t="shared"/>
        <v>0</v>
      </c>
      <c r="AO144" s="27"/>
      <c r="AP144" s="27"/>
      <c r="AQ144" s="42"/>
      <c r="AR144" s="42"/>
      <c r="AS144" s="42"/>
      <c r="AT144" s="42"/>
      <c r="AU144" s="27"/>
      <c r="AV144" s="27"/>
      <c r="AX144" s="41"/>
      <c r="AY144" s="41"/>
      <c r="AZ144" s="41"/>
    </row>
    <row r="145" spans="1:52" x14ac:dyDescent="0.2">
      <c r="A145" s="63" t="str">
        <f si="34" t="shared"/>
        <v>СКБСЖ</v>
      </c>
      <c r="B145" s="27" t="s">
        <v>4</v>
      </c>
      <c r="C145" s="1" t="str">
        <f>IFERROR(VLOOKUP(D145,Каналы!$B:$C,2,0),"")</f>
        <v/>
      </c>
      <c r="D145" s="27"/>
      <c r="E145" s="1" t="str">
        <f>IFERROR(VLOOKUP(D145,Каналы!$B:$D,3,0),"")</f>
        <v/>
      </c>
      <c r="F145" s="27"/>
      <c r="G145" s="27"/>
      <c r="H145" s="1" t="str">
        <f>IFERROR(VLOOKUP(K145,ЛБ!$C:$E,3,0),"")</f>
        <v/>
      </c>
      <c r="I145" s="27"/>
      <c r="J145" s="53"/>
      <c r="K145" s="27"/>
      <c r="L145" s="27"/>
      <c r="M145" s="27"/>
      <c r="N145" s="27"/>
      <c r="O145" s="5"/>
      <c r="P145" s="5"/>
      <c r="Q145" s="5"/>
      <c r="R145" s="5"/>
      <c r="S145" s="5"/>
      <c r="T145" s="5"/>
      <c r="U145" s="5"/>
      <c r="V145" s="5"/>
      <c r="W145" s="5"/>
      <c r="X145" s="41"/>
      <c r="Y145" s="41"/>
      <c r="Z145" s="41"/>
      <c r="AA145" s="4">
        <f si="35" t="shared"/>
        <v>0</v>
      </c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">
        <f si="36" t="shared"/>
        <v>0</v>
      </c>
      <c r="AO145" s="27"/>
      <c r="AP145" s="27"/>
      <c r="AQ145" s="42"/>
      <c r="AR145" s="42"/>
      <c r="AS145" s="42"/>
      <c r="AT145" s="42"/>
      <c r="AU145" s="27"/>
      <c r="AV145" s="27"/>
      <c r="AX145" s="41"/>
      <c r="AY145" s="41"/>
      <c r="AZ145" s="41"/>
    </row>
    <row r="146" spans="1:52" x14ac:dyDescent="0.2">
      <c r="A146" s="63" t="str">
        <f si="34" t="shared"/>
        <v>СКБСЖ</v>
      </c>
      <c r="B146" s="27" t="s">
        <v>4</v>
      </c>
      <c r="C146" s="1" t="str">
        <f>IFERROR(VLOOKUP(D146,Каналы!$B:$C,2,0),"")</f>
        <v/>
      </c>
      <c r="D146" s="27"/>
      <c r="E146" s="1" t="str">
        <f>IFERROR(VLOOKUP(D146,Каналы!$B:$D,3,0),"")</f>
        <v/>
      </c>
      <c r="F146" s="27"/>
      <c r="G146" s="27"/>
      <c r="H146" s="1" t="str">
        <f>IFERROR(VLOOKUP(K146,ЛБ!$C:$E,3,0),"")</f>
        <v/>
      </c>
      <c r="I146" s="27"/>
      <c r="J146" s="53"/>
      <c r="K146" s="27"/>
      <c r="L146" s="27"/>
      <c r="M146" s="27"/>
      <c r="N146" s="27"/>
      <c r="O146" s="5"/>
      <c r="P146" s="5"/>
      <c r="Q146" s="5"/>
      <c r="R146" s="5"/>
      <c r="S146" s="5"/>
      <c r="T146" s="5"/>
      <c r="U146" s="5"/>
      <c r="V146" s="5"/>
      <c r="W146" s="5"/>
      <c r="X146" s="41"/>
      <c r="Y146" s="41"/>
      <c r="Z146" s="41"/>
      <c r="AA146" s="4">
        <f si="35" t="shared"/>
        <v>0</v>
      </c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">
        <f si="36" t="shared"/>
        <v>0</v>
      </c>
      <c r="AO146" s="27"/>
      <c r="AP146" s="27"/>
      <c r="AQ146" s="42"/>
      <c r="AR146" s="42"/>
      <c r="AS146" s="42"/>
      <c r="AT146" s="42"/>
      <c r="AU146" s="27"/>
      <c r="AV146" s="27"/>
      <c r="AX146" s="41"/>
      <c r="AY146" s="41"/>
      <c r="AZ146" s="41"/>
    </row>
    <row r="147" spans="1:52" x14ac:dyDescent="0.2">
      <c r="A147" s="63" t="str">
        <f si="34" t="shared"/>
        <v>СКБСЖ</v>
      </c>
      <c r="B147" s="27" t="s">
        <v>4</v>
      </c>
      <c r="C147" s="1" t="str">
        <f>IFERROR(VLOOKUP(D147,Каналы!$B:$C,2,0),"")</f>
        <v/>
      </c>
      <c r="D147" s="27"/>
      <c r="E147" s="1" t="str">
        <f>IFERROR(VLOOKUP(D147,Каналы!$B:$D,3,0),"")</f>
        <v/>
      </c>
      <c r="F147" s="27"/>
      <c r="G147" s="27"/>
      <c r="H147" s="1" t="str">
        <f>IFERROR(VLOOKUP(K147,ЛБ!$C:$E,3,0),"")</f>
        <v/>
      </c>
      <c r="I147" s="27"/>
      <c r="J147" s="53"/>
      <c r="K147" s="27"/>
      <c r="L147" s="27"/>
      <c r="M147" s="27"/>
      <c r="N147" s="27"/>
      <c r="O147" s="5"/>
      <c r="P147" s="5"/>
      <c r="Q147" s="5"/>
      <c r="R147" s="5"/>
      <c r="S147" s="5"/>
      <c r="T147" s="5"/>
      <c r="U147" s="5"/>
      <c r="V147" s="5"/>
      <c r="W147" s="5"/>
      <c r="X147" s="41"/>
      <c r="Y147" s="41"/>
      <c r="Z147" s="41"/>
      <c r="AA147" s="4">
        <f si="35" t="shared"/>
        <v>0</v>
      </c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">
        <f si="36" t="shared"/>
        <v>0</v>
      </c>
      <c r="AO147" s="27"/>
      <c r="AP147" s="27"/>
      <c r="AQ147" s="42"/>
      <c r="AR147" s="42"/>
      <c r="AS147" s="42"/>
      <c r="AT147" s="42"/>
      <c r="AU147" s="27"/>
      <c r="AV147" s="27"/>
      <c r="AX147" s="41"/>
      <c r="AY147" s="41"/>
      <c r="AZ147" s="41"/>
    </row>
    <row r="148" spans="1:52" x14ac:dyDescent="0.2">
      <c r="A148" s="63" t="str">
        <f si="34" t="shared"/>
        <v>СКБСЖ</v>
      </c>
      <c r="B148" s="27" t="s">
        <v>4</v>
      </c>
      <c r="C148" s="1" t="str">
        <f>IFERROR(VLOOKUP(D148,Каналы!$B:$C,2,0),"")</f>
        <v/>
      </c>
      <c r="D148" s="27"/>
      <c r="E148" s="1" t="str">
        <f>IFERROR(VLOOKUP(D148,Каналы!$B:$D,3,0),"")</f>
        <v/>
      </c>
      <c r="F148" s="27"/>
      <c r="G148" s="27"/>
      <c r="H148" s="1" t="str">
        <f>IFERROR(VLOOKUP(K148,ЛБ!$C:$E,3,0),"")</f>
        <v/>
      </c>
      <c r="I148" s="27"/>
      <c r="J148" s="53"/>
      <c r="K148" s="27"/>
      <c r="L148" s="27"/>
      <c r="M148" s="27"/>
      <c r="N148" s="27"/>
      <c r="O148" s="5"/>
      <c r="P148" s="5"/>
      <c r="Q148" s="5"/>
      <c r="R148" s="5"/>
      <c r="S148" s="5"/>
      <c r="T148" s="5"/>
      <c r="U148" s="5"/>
      <c r="V148" s="5"/>
      <c r="W148" s="5"/>
      <c r="X148" s="41"/>
      <c r="Y148" s="41"/>
      <c r="Z148" s="41"/>
      <c r="AA148" s="4">
        <f si="35" t="shared"/>
        <v>0</v>
      </c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">
        <f si="36" t="shared"/>
        <v>0</v>
      </c>
      <c r="AO148" s="27"/>
      <c r="AP148" s="27"/>
      <c r="AQ148" s="42"/>
      <c r="AR148" s="42"/>
      <c r="AS148" s="42"/>
      <c r="AT148" s="42"/>
      <c r="AU148" s="27"/>
      <c r="AV148" s="27"/>
      <c r="AX148" s="41"/>
      <c r="AY148" s="41"/>
      <c r="AZ148" s="41"/>
    </row>
    <row r="149" spans="1:52" x14ac:dyDescent="0.2">
      <c r="A149" s="63" t="str">
        <f si="34" t="shared"/>
        <v>СКБСЖ</v>
      </c>
      <c r="B149" s="27" t="s">
        <v>4</v>
      </c>
      <c r="C149" s="1" t="str">
        <f>IFERROR(VLOOKUP(D149,Каналы!$B:$C,2,0),"")</f>
        <v/>
      </c>
      <c r="D149" s="27"/>
      <c r="E149" s="1" t="str">
        <f>IFERROR(VLOOKUP(D149,Каналы!$B:$D,3,0),"")</f>
        <v/>
      </c>
      <c r="F149" s="27"/>
      <c r="G149" s="27"/>
      <c r="H149" s="1" t="str">
        <f>IFERROR(VLOOKUP(K149,ЛБ!$C:$E,3,0),"")</f>
        <v/>
      </c>
      <c r="I149" s="27"/>
      <c r="J149" s="53"/>
      <c r="K149" s="27"/>
      <c r="L149" s="27"/>
      <c r="M149" s="27"/>
      <c r="N149" s="27"/>
      <c r="O149" s="5"/>
      <c r="P149" s="5"/>
      <c r="Q149" s="5"/>
      <c r="R149" s="5"/>
      <c r="S149" s="5"/>
      <c r="T149" s="5"/>
      <c r="U149" s="5"/>
      <c r="V149" s="5"/>
      <c r="W149" s="5"/>
      <c r="X149" s="41"/>
      <c r="Y149" s="41"/>
      <c r="Z149" s="41"/>
      <c r="AA149" s="4">
        <f si="35" t="shared"/>
        <v>0</v>
      </c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">
        <f si="36" t="shared"/>
        <v>0</v>
      </c>
      <c r="AO149" s="27"/>
      <c r="AP149" s="27"/>
      <c r="AQ149" s="42"/>
      <c r="AR149" s="42"/>
      <c r="AS149" s="42"/>
      <c r="AT149" s="42"/>
      <c r="AU149" s="27"/>
      <c r="AV149" s="27"/>
      <c r="AX149" s="41"/>
      <c r="AY149" s="41"/>
      <c r="AZ149" s="41"/>
    </row>
    <row r="150" spans="1:52" x14ac:dyDescent="0.2">
      <c r="A150" s="63" t="str">
        <f si="34" t="shared"/>
        <v>СКБСЖ</v>
      </c>
      <c r="B150" s="27" t="s">
        <v>4</v>
      </c>
      <c r="C150" s="1" t="str">
        <f>IFERROR(VLOOKUP(D150,Каналы!$B:$C,2,0),"")</f>
        <v/>
      </c>
      <c r="D150" s="27"/>
      <c r="E150" s="1" t="str">
        <f>IFERROR(VLOOKUP(D150,Каналы!$B:$D,3,0),"")</f>
        <v/>
      </c>
      <c r="F150" s="27"/>
      <c r="G150" s="27"/>
      <c r="H150" s="1" t="str">
        <f>IFERROR(VLOOKUP(K150,ЛБ!$C:$E,3,0),"")</f>
        <v/>
      </c>
      <c r="I150" s="27"/>
      <c r="J150" s="53"/>
      <c r="K150" s="27"/>
      <c r="L150" s="27"/>
      <c r="M150" s="27"/>
      <c r="N150" s="27"/>
      <c r="O150" s="5"/>
      <c r="P150" s="5"/>
      <c r="Q150" s="5"/>
      <c r="R150" s="5"/>
      <c r="S150" s="5"/>
      <c r="T150" s="5"/>
      <c r="U150" s="5"/>
      <c r="V150" s="5"/>
      <c r="W150" s="5"/>
      <c r="X150" s="41"/>
      <c r="Y150" s="41"/>
      <c r="Z150" s="41"/>
      <c r="AA150" s="4">
        <f si="35" t="shared"/>
        <v>0</v>
      </c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">
        <f si="36" t="shared"/>
        <v>0</v>
      </c>
      <c r="AO150" s="27"/>
      <c r="AP150" s="27"/>
      <c r="AQ150" s="42"/>
      <c r="AR150" s="42"/>
      <c r="AS150" s="42"/>
      <c r="AT150" s="42"/>
      <c r="AU150" s="27"/>
      <c r="AV150" s="27"/>
      <c r="AX150" s="41"/>
      <c r="AY150" s="41"/>
      <c r="AZ150" s="41"/>
    </row>
    <row r="151" spans="1:52" x14ac:dyDescent="0.2">
      <c r="A151" s="63" t="str">
        <f si="34" t="shared"/>
        <v>СКБСЖ</v>
      </c>
      <c r="B151" s="27" t="s">
        <v>4</v>
      </c>
      <c r="C151" s="1" t="str">
        <f>IFERROR(VLOOKUP(D151,Каналы!$B:$C,2,0),"")</f>
        <v/>
      </c>
      <c r="D151" s="27"/>
      <c r="E151" s="1" t="str">
        <f>IFERROR(VLOOKUP(D151,Каналы!$B:$D,3,0),"")</f>
        <v/>
      </c>
      <c r="F151" s="27"/>
      <c r="G151" s="27"/>
      <c r="H151" s="1" t="str">
        <f>IFERROR(VLOOKUP(K151,ЛБ!$C:$E,3,0),"")</f>
        <v/>
      </c>
      <c r="I151" s="27"/>
      <c r="J151" s="53"/>
      <c r="K151" s="27"/>
      <c r="L151" s="27"/>
      <c r="M151" s="27"/>
      <c r="N151" s="27"/>
      <c r="O151" s="5"/>
      <c r="P151" s="5"/>
      <c r="Q151" s="5"/>
      <c r="R151" s="5"/>
      <c r="S151" s="5"/>
      <c r="T151" s="5"/>
      <c r="U151" s="5"/>
      <c r="V151" s="5"/>
      <c r="W151" s="5"/>
      <c r="X151" s="41"/>
      <c r="Y151" s="41"/>
      <c r="Z151" s="41"/>
      <c r="AA151" s="4">
        <f si="35" t="shared"/>
        <v>0</v>
      </c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">
        <f si="36" t="shared"/>
        <v>0</v>
      </c>
      <c r="AO151" s="27"/>
      <c r="AP151" s="27"/>
      <c r="AQ151" s="42"/>
      <c r="AR151" s="42"/>
      <c r="AS151" s="42"/>
      <c r="AT151" s="42"/>
      <c r="AU151" s="27"/>
      <c r="AV151" s="27"/>
      <c r="AX151" s="41"/>
      <c r="AY151" s="41"/>
      <c r="AZ151" s="41"/>
    </row>
    <row r="152" spans="1:52" x14ac:dyDescent="0.2">
      <c r="A152" s="63" t="str">
        <f si="34" t="shared"/>
        <v>СКБСЖ</v>
      </c>
      <c r="B152" s="27" t="s">
        <v>4</v>
      </c>
      <c r="C152" s="1" t="str">
        <f>IFERROR(VLOOKUP(D152,Каналы!$B:$C,2,0),"")</f>
        <v/>
      </c>
      <c r="D152" s="27"/>
      <c r="E152" s="1" t="str">
        <f>IFERROR(VLOOKUP(D152,Каналы!$B:$D,3,0),"")</f>
        <v/>
      </c>
      <c r="F152" s="27"/>
      <c r="G152" s="27"/>
      <c r="H152" s="1" t="str">
        <f>IFERROR(VLOOKUP(K152,ЛБ!$C:$E,3,0),"")</f>
        <v/>
      </c>
      <c r="I152" s="27"/>
      <c r="J152" s="53"/>
      <c r="K152" s="27"/>
      <c r="L152" s="27"/>
      <c r="M152" s="27"/>
      <c r="N152" s="27"/>
      <c r="O152" s="5"/>
      <c r="P152" s="5"/>
      <c r="Q152" s="5"/>
      <c r="R152" s="5"/>
      <c r="S152" s="5"/>
      <c r="T152" s="5"/>
      <c r="U152" s="5"/>
      <c r="V152" s="5"/>
      <c r="W152" s="5"/>
      <c r="X152" s="41"/>
      <c r="Y152" s="41"/>
      <c r="Z152" s="41"/>
      <c r="AA152" s="4">
        <f si="35" t="shared"/>
        <v>0</v>
      </c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">
        <f si="36" t="shared"/>
        <v>0</v>
      </c>
      <c r="AO152" s="27"/>
      <c r="AP152" s="27"/>
      <c r="AQ152" s="42"/>
      <c r="AR152" s="42"/>
      <c r="AS152" s="42"/>
      <c r="AT152" s="42"/>
      <c r="AU152" s="27"/>
      <c r="AV152" s="27"/>
      <c r="AX152" s="41"/>
      <c r="AY152" s="41"/>
      <c r="AZ152" s="41"/>
    </row>
    <row r="153" spans="1:52" x14ac:dyDescent="0.2">
      <c r="A153" s="63" t="str">
        <f si="34" t="shared"/>
        <v>СКБСЖ</v>
      </c>
      <c r="B153" s="27" t="s">
        <v>4</v>
      </c>
      <c r="C153" s="1" t="str">
        <f>IFERROR(VLOOKUP(D153,Каналы!$B:$C,2,0),"")</f>
        <v/>
      </c>
      <c r="D153" s="27"/>
      <c r="E153" s="1" t="str">
        <f>IFERROR(VLOOKUP(D153,Каналы!$B:$D,3,0),"")</f>
        <v/>
      </c>
      <c r="F153" s="27"/>
      <c r="G153" s="27"/>
      <c r="H153" s="1" t="str">
        <f>IFERROR(VLOOKUP(K153,ЛБ!$C:$E,3,0),"")</f>
        <v/>
      </c>
      <c r="I153" s="27"/>
      <c r="J153" s="53"/>
      <c r="K153" s="27"/>
      <c r="L153" s="27"/>
      <c r="M153" s="27"/>
      <c r="N153" s="27"/>
      <c r="O153" s="5"/>
      <c r="P153" s="5"/>
      <c r="Q153" s="5"/>
      <c r="R153" s="5"/>
      <c r="S153" s="5"/>
      <c r="T153" s="5"/>
      <c r="U153" s="5"/>
      <c r="V153" s="5"/>
      <c r="W153" s="5"/>
      <c r="X153" s="41"/>
      <c r="Y153" s="41"/>
      <c r="Z153" s="41"/>
      <c r="AA153" s="4">
        <f si="35" t="shared"/>
        <v>0</v>
      </c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">
        <f si="36" t="shared"/>
        <v>0</v>
      </c>
      <c r="AO153" s="27"/>
      <c r="AP153" s="27"/>
      <c r="AQ153" s="42"/>
      <c r="AR153" s="42"/>
      <c r="AS153" s="42"/>
      <c r="AT153" s="42"/>
      <c r="AU153" s="27"/>
      <c r="AV153" s="27"/>
      <c r="AX153" s="41"/>
      <c r="AY153" s="41"/>
      <c r="AZ153" s="41"/>
    </row>
    <row r="154" spans="1:52" x14ac:dyDescent="0.2">
      <c r="A154" s="63" t="str">
        <f si="34" t="shared"/>
        <v>СКБСЖ</v>
      </c>
      <c r="B154" s="27" t="s">
        <v>4</v>
      </c>
      <c r="C154" s="1" t="str">
        <f>IFERROR(VLOOKUP(D154,Каналы!$B:$C,2,0),"")</f>
        <v/>
      </c>
      <c r="D154" s="27"/>
      <c r="E154" s="1" t="str">
        <f>IFERROR(VLOOKUP(D154,Каналы!$B:$D,3,0),"")</f>
        <v/>
      </c>
      <c r="F154" s="27"/>
      <c r="G154" s="27"/>
      <c r="H154" s="1" t="str">
        <f>IFERROR(VLOOKUP(K154,ЛБ!$C:$E,3,0),"")</f>
        <v/>
      </c>
      <c r="I154" s="27"/>
      <c r="J154" s="53"/>
      <c r="K154" s="27"/>
      <c r="L154" s="27"/>
      <c r="M154" s="27"/>
      <c r="N154" s="27"/>
      <c r="O154" s="5"/>
      <c r="P154" s="5"/>
      <c r="Q154" s="5"/>
      <c r="R154" s="5"/>
      <c r="S154" s="5"/>
      <c r="T154" s="5"/>
      <c r="U154" s="5"/>
      <c r="V154" s="5"/>
      <c r="W154" s="5"/>
      <c r="X154" s="41"/>
      <c r="Y154" s="41"/>
      <c r="Z154" s="41"/>
      <c r="AA154" s="4">
        <f si="35" t="shared"/>
        <v>0</v>
      </c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">
        <f si="36" t="shared"/>
        <v>0</v>
      </c>
      <c r="AO154" s="27"/>
      <c r="AP154" s="27"/>
      <c r="AQ154" s="42"/>
      <c r="AR154" s="42"/>
      <c r="AS154" s="42"/>
      <c r="AT154" s="42"/>
      <c r="AU154" s="27"/>
      <c r="AV154" s="27"/>
      <c r="AX154" s="41"/>
      <c r="AY154" s="41"/>
      <c r="AZ154" s="41"/>
    </row>
    <row r="155" spans="1:52" x14ac:dyDescent="0.2">
      <c r="A155" s="63" t="str">
        <f si="34" t="shared"/>
        <v>СКБСЖ</v>
      </c>
      <c r="B155" s="27" t="s">
        <v>4</v>
      </c>
      <c r="C155" s="1" t="str">
        <f>IFERROR(VLOOKUP(D155,Каналы!$B:$C,2,0),"")</f>
        <v/>
      </c>
      <c r="D155" s="27"/>
      <c r="E155" s="1" t="str">
        <f>IFERROR(VLOOKUP(D155,Каналы!$B:$D,3,0),"")</f>
        <v/>
      </c>
      <c r="F155" s="27"/>
      <c r="G155" s="27"/>
      <c r="H155" s="1" t="str">
        <f>IFERROR(VLOOKUP(K155,ЛБ!$C:$E,3,0),"")</f>
        <v/>
      </c>
      <c r="I155" s="27"/>
      <c r="J155" s="53"/>
      <c r="K155" s="27"/>
      <c r="L155" s="27"/>
      <c r="M155" s="27"/>
      <c r="N155" s="27"/>
      <c r="O155" s="5"/>
      <c r="P155" s="5"/>
      <c r="Q155" s="5"/>
      <c r="R155" s="5"/>
      <c r="S155" s="5"/>
      <c r="T155" s="5"/>
      <c r="U155" s="5"/>
      <c r="V155" s="5"/>
      <c r="W155" s="5"/>
      <c r="X155" s="41"/>
      <c r="Y155" s="41"/>
      <c r="Z155" s="41"/>
      <c r="AA155" s="4">
        <f si="35" t="shared"/>
        <v>0</v>
      </c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">
        <f si="36" t="shared"/>
        <v>0</v>
      </c>
      <c r="AO155" s="27"/>
      <c r="AP155" s="27"/>
      <c r="AQ155" s="42"/>
      <c r="AR155" s="42"/>
      <c r="AS155" s="42"/>
      <c r="AT155" s="42"/>
      <c r="AU155" s="27"/>
      <c r="AV155" s="27"/>
      <c r="AX155" s="41"/>
      <c r="AY155" s="41"/>
      <c r="AZ155" s="41"/>
    </row>
    <row r="156" spans="1:52" x14ac:dyDescent="0.2">
      <c r="A156" s="63" t="str">
        <f si="34" t="shared"/>
        <v>СКБСЖ</v>
      </c>
      <c r="B156" s="27" t="s">
        <v>4</v>
      </c>
      <c r="C156" s="1" t="str">
        <f>IFERROR(VLOOKUP(D156,Каналы!$B:$C,2,0),"")</f>
        <v/>
      </c>
      <c r="D156" s="27"/>
      <c r="E156" s="1" t="str">
        <f>IFERROR(VLOOKUP(D156,Каналы!$B:$D,3,0),"")</f>
        <v/>
      </c>
      <c r="F156" s="27"/>
      <c r="G156" s="27"/>
      <c r="H156" s="1" t="str">
        <f>IFERROR(VLOOKUP(K156,ЛБ!$C:$E,3,0),"")</f>
        <v/>
      </c>
      <c r="I156" s="27"/>
      <c r="J156" s="53"/>
      <c r="K156" s="27"/>
      <c r="L156" s="27"/>
      <c r="M156" s="27"/>
      <c r="N156" s="27"/>
      <c r="O156" s="5"/>
      <c r="P156" s="5"/>
      <c r="Q156" s="5"/>
      <c r="R156" s="5"/>
      <c r="S156" s="5"/>
      <c r="T156" s="5"/>
      <c r="U156" s="5"/>
      <c r="V156" s="5"/>
      <c r="W156" s="5"/>
      <c r="X156" s="41"/>
      <c r="Y156" s="41"/>
      <c r="Z156" s="41"/>
      <c r="AA156" s="4">
        <f si="35" t="shared"/>
        <v>0</v>
      </c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">
        <f si="36" t="shared"/>
        <v>0</v>
      </c>
      <c r="AO156" s="27"/>
      <c r="AP156" s="27"/>
      <c r="AQ156" s="42"/>
      <c r="AR156" s="42"/>
      <c r="AS156" s="42"/>
      <c r="AT156" s="42"/>
      <c r="AU156" s="27"/>
      <c r="AV156" s="27"/>
      <c r="AX156" s="41"/>
      <c r="AY156" s="41"/>
      <c r="AZ156" s="41"/>
    </row>
    <row r="157" spans="1:52" x14ac:dyDescent="0.2">
      <c r="A157" s="63" t="str">
        <f si="34" t="shared"/>
        <v>СКБСЖ</v>
      </c>
      <c r="B157" s="27" t="s">
        <v>4</v>
      </c>
      <c r="C157" s="1" t="str">
        <f>IFERROR(VLOOKUP(D157,Каналы!$B:$C,2,0),"")</f>
        <v/>
      </c>
      <c r="D157" s="27"/>
      <c r="E157" s="1" t="str">
        <f>IFERROR(VLOOKUP(D157,Каналы!$B:$D,3,0),"")</f>
        <v/>
      </c>
      <c r="F157" s="27"/>
      <c r="G157" s="27"/>
      <c r="H157" s="1" t="str">
        <f>IFERROR(VLOOKUP(K157,ЛБ!$C:$E,3,0),"")</f>
        <v/>
      </c>
      <c r="I157" s="27"/>
      <c r="J157" s="53"/>
      <c r="K157" s="27"/>
      <c r="L157" s="27"/>
      <c r="M157" s="27"/>
      <c r="N157" s="27"/>
      <c r="O157" s="5"/>
      <c r="P157" s="5"/>
      <c r="Q157" s="5"/>
      <c r="R157" s="5"/>
      <c r="S157" s="5"/>
      <c r="T157" s="5"/>
      <c r="U157" s="5"/>
      <c r="V157" s="5"/>
      <c r="W157" s="5"/>
      <c r="X157" s="41"/>
      <c r="Y157" s="41"/>
      <c r="Z157" s="41"/>
      <c r="AA157" s="4">
        <f si="35" t="shared"/>
        <v>0</v>
      </c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">
        <f si="36" t="shared"/>
        <v>0</v>
      </c>
      <c r="AO157" s="27"/>
      <c r="AP157" s="27"/>
      <c r="AQ157" s="42"/>
      <c r="AR157" s="42"/>
      <c r="AS157" s="42"/>
      <c r="AT157" s="42"/>
      <c r="AU157" s="27"/>
      <c r="AV157" s="27"/>
      <c r="AX157" s="41"/>
      <c r="AY157" s="41"/>
      <c r="AZ157" s="41"/>
    </row>
    <row r="158" spans="1:52" x14ac:dyDescent="0.2">
      <c r="A158" s="63" t="str">
        <f si="34" t="shared"/>
        <v>СКБСЖ</v>
      </c>
      <c r="B158" s="27" t="s">
        <v>4</v>
      </c>
      <c r="C158" s="1" t="str">
        <f>IFERROR(VLOOKUP(D158,Каналы!$B:$C,2,0),"")</f>
        <v/>
      </c>
      <c r="D158" s="27"/>
      <c r="E158" s="1" t="str">
        <f>IFERROR(VLOOKUP(D158,Каналы!$B:$D,3,0),"")</f>
        <v/>
      </c>
      <c r="F158" s="27"/>
      <c r="G158" s="27"/>
      <c r="H158" s="1" t="str">
        <f>IFERROR(VLOOKUP(K158,ЛБ!$C:$E,3,0),"")</f>
        <v/>
      </c>
      <c r="I158" s="27"/>
      <c r="J158" s="53"/>
      <c r="K158" s="27"/>
      <c r="L158" s="27"/>
      <c r="M158" s="27"/>
      <c r="N158" s="27"/>
      <c r="O158" s="5"/>
      <c r="P158" s="5"/>
      <c r="Q158" s="5"/>
      <c r="R158" s="5"/>
      <c r="S158" s="5"/>
      <c r="T158" s="5"/>
      <c r="U158" s="5"/>
      <c r="V158" s="5"/>
      <c r="W158" s="5"/>
      <c r="X158" s="41"/>
      <c r="Y158" s="41"/>
      <c r="Z158" s="41"/>
      <c r="AA158" s="4">
        <f si="35" t="shared"/>
        <v>0</v>
      </c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">
        <f si="36" t="shared"/>
        <v>0</v>
      </c>
      <c r="AO158" s="27"/>
      <c r="AP158" s="27"/>
      <c r="AQ158" s="42"/>
      <c r="AR158" s="42"/>
      <c r="AS158" s="42"/>
      <c r="AT158" s="42"/>
      <c r="AU158" s="27"/>
      <c r="AV158" s="27"/>
      <c r="AX158" s="41"/>
      <c r="AY158" s="41"/>
      <c r="AZ158" s="41"/>
    </row>
    <row r="159" spans="1:52" x14ac:dyDescent="0.2">
      <c r="A159" s="63" t="str">
        <f si="34" t="shared"/>
        <v>СКБСЖ</v>
      </c>
      <c r="B159" s="27" t="s">
        <v>4</v>
      </c>
      <c r="C159" s="1" t="str">
        <f>IFERROR(VLOOKUP(D159,Каналы!$B:$C,2,0),"")</f>
        <v/>
      </c>
      <c r="D159" s="27"/>
      <c r="E159" s="1" t="str">
        <f>IFERROR(VLOOKUP(D159,Каналы!$B:$D,3,0),"")</f>
        <v/>
      </c>
      <c r="F159" s="27"/>
      <c r="G159" s="27"/>
      <c r="H159" s="1" t="str">
        <f>IFERROR(VLOOKUP(K159,ЛБ!$C:$E,3,0),"")</f>
        <v/>
      </c>
      <c r="I159" s="27"/>
      <c r="J159" s="53"/>
      <c r="K159" s="27"/>
      <c r="L159" s="27"/>
      <c r="M159" s="27"/>
      <c r="N159" s="27"/>
      <c r="O159" s="5"/>
      <c r="P159" s="5"/>
      <c r="Q159" s="5"/>
      <c r="R159" s="5"/>
      <c r="S159" s="5"/>
      <c r="T159" s="5"/>
      <c r="U159" s="5"/>
      <c r="V159" s="5"/>
      <c r="W159" s="5"/>
      <c r="X159" s="41"/>
      <c r="Y159" s="41"/>
      <c r="Z159" s="41"/>
      <c r="AA159" s="4">
        <f si="35" t="shared"/>
        <v>0</v>
      </c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">
        <f si="36" t="shared"/>
        <v>0</v>
      </c>
      <c r="AO159" s="27"/>
      <c r="AP159" s="27"/>
      <c r="AQ159" s="42"/>
      <c r="AR159" s="42"/>
      <c r="AS159" s="42"/>
      <c r="AT159" s="42"/>
      <c r="AU159" s="27"/>
      <c r="AV159" s="27"/>
      <c r="AX159" s="41"/>
      <c r="AY159" s="41"/>
      <c r="AZ159" s="41"/>
    </row>
    <row r="160" spans="1:52" x14ac:dyDescent="0.2">
      <c r="A160" s="63" t="str">
        <f si="34" t="shared"/>
        <v>СКБСЖ</v>
      </c>
      <c r="B160" s="27" t="s">
        <v>4</v>
      </c>
      <c r="C160" s="1" t="str">
        <f>IFERROR(VLOOKUP(D160,Каналы!$B:$C,2,0),"")</f>
        <v/>
      </c>
      <c r="D160" s="27"/>
      <c r="E160" s="1" t="str">
        <f>IFERROR(VLOOKUP(D160,Каналы!$B:$D,3,0),"")</f>
        <v/>
      </c>
      <c r="F160" s="27"/>
      <c r="G160" s="27"/>
      <c r="H160" s="1" t="str">
        <f>IFERROR(VLOOKUP(K160,ЛБ!$C:$E,3,0),"")</f>
        <v/>
      </c>
      <c r="I160" s="27"/>
      <c r="J160" s="53"/>
      <c r="K160" s="27"/>
      <c r="L160" s="27"/>
      <c r="M160" s="27"/>
      <c r="N160" s="27"/>
      <c r="O160" s="5"/>
      <c r="P160" s="5"/>
      <c r="Q160" s="5"/>
      <c r="R160" s="5"/>
      <c r="S160" s="5"/>
      <c r="T160" s="5"/>
      <c r="U160" s="5"/>
      <c r="V160" s="5"/>
      <c r="W160" s="5"/>
      <c r="X160" s="41"/>
      <c r="Y160" s="41"/>
      <c r="Z160" s="41"/>
      <c r="AA160" s="4">
        <f si="35" t="shared"/>
        <v>0</v>
      </c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">
        <f si="36" t="shared"/>
        <v>0</v>
      </c>
      <c r="AO160" s="27"/>
      <c r="AP160" s="27"/>
      <c r="AQ160" s="42"/>
      <c r="AR160" s="42"/>
      <c r="AS160" s="42"/>
      <c r="AT160" s="42"/>
      <c r="AU160" s="27"/>
      <c r="AV160" s="27"/>
      <c r="AX160" s="41"/>
      <c r="AY160" s="41"/>
      <c r="AZ160" s="41"/>
    </row>
    <row r="161" spans="1:52" x14ac:dyDescent="0.2">
      <c r="A161" s="63" t="str">
        <f si="34" t="shared"/>
        <v>СКБСЖ</v>
      </c>
      <c r="B161" s="27" t="s">
        <v>4</v>
      </c>
      <c r="C161" s="1" t="str">
        <f>IFERROR(VLOOKUP(D161,Каналы!$B:$C,2,0),"")</f>
        <v/>
      </c>
      <c r="D161" s="27"/>
      <c r="E161" s="1" t="str">
        <f>IFERROR(VLOOKUP(D161,Каналы!$B:$D,3,0),"")</f>
        <v/>
      </c>
      <c r="F161" s="27"/>
      <c r="G161" s="27"/>
      <c r="H161" s="1" t="str">
        <f>IFERROR(VLOOKUP(K161,ЛБ!$C:$E,3,0),"")</f>
        <v/>
      </c>
      <c r="I161" s="27"/>
      <c r="J161" s="53"/>
      <c r="K161" s="27"/>
      <c r="L161" s="27"/>
      <c r="M161" s="27"/>
      <c r="N161" s="27"/>
      <c r="O161" s="5"/>
      <c r="P161" s="5"/>
      <c r="Q161" s="5"/>
      <c r="R161" s="5"/>
      <c r="S161" s="5"/>
      <c r="T161" s="5"/>
      <c r="U161" s="5"/>
      <c r="V161" s="5"/>
      <c r="W161" s="5"/>
      <c r="X161" s="41"/>
      <c r="Y161" s="41"/>
      <c r="Z161" s="41"/>
      <c r="AA161" s="4">
        <f si="35" t="shared"/>
        <v>0</v>
      </c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">
        <f si="36" t="shared"/>
        <v>0</v>
      </c>
      <c r="AO161" s="27"/>
      <c r="AP161" s="27"/>
      <c r="AQ161" s="42"/>
      <c r="AR161" s="42"/>
      <c r="AS161" s="42"/>
      <c r="AT161" s="42"/>
      <c r="AU161" s="27"/>
      <c r="AV161" s="27"/>
      <c r="AX161" s="41"/>
      <c r="AY161" s="41"/>
      <c r="AZ161" s="41"/>
    </row>
  </sheetData>
  <autoFilter ref="A5:BC161" xr:uid="{00000000-0009-0000-0000-000001000000}"/>
  <mergeCells count="8">
    <mergeCell ref="AX4:AZ4"/>
    <mergeCell ref="BA4:BC4"/>
    <mergeCell ref="O4:W4"/>
    <mergeCell ref="X4:Z4"/>
    <mergeCell ref="AB4:AN4"/>
    <mergeCell ref="AU4:AV4"/>
    <mergeCell ref="AQ4:AT4"/>
    <mergeCell ref="AO4:AP4"/>
  </mergeCells>
  <dataValidations count="5">
    <dataValidation allowBlank="1" showErrorMessage="1" showInputMessage="1" sqref="L6:L161 D6:D87" type="list" xr:uid="{00000000-0002-0000-0100-000000000000}">
      <formula1>INDIRECT(C6)</formula1>
    </dataValidation>
    <dataValidation allowBlank="1" showErrorMessage="1" showInputMessage="1" sqref="F6:F161" type="list" xr:uid="{00000000-0002-0000-0100-000001000000}">
      <formula1>INDIRECT("Регион")</formula1>
    </dataValidation>
    <dataValidation allowBlank="1" showErrorMessage="1" showInputMessage="1" sqref="G6:G161" type="list" xr:uid="{00000000-0002-0000-0100-000002000000}">
      <formula1>INDIRECT("НовыеТП")</formula1>
    </dataValidation>
    <dataValidation allowBlank="1" showErrorMessage="1" showInputMessage="1" sqref="I6:I161" type="list" xr:uid="{00000000-0002-0000-0100-000003000000}">
      <formula1>INDIRECT("портфель")</formula1>
    </dataValidation>
    <dataValidation allowBlank="1" showErrorMessage="1" showInputMessage="1" sqref="K6:K161" type="list" xr:uid="{00000000-0002-0000-0100-000004000000}">
      <formula1>INDIRECT(I6)</formula1>
    </dataValidation>
  </dataValidations>
  <pageMargins bottom="0.75" footer="0.3" header="0.3" left="0.7" right="0.7" top="0.75"/>
  <pageSetup orientation="portrait" paperSize="9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allowBlank="1" showErrorMessage="1" showInputMessage="1" type="list" xr:uid="{00000000-0002-0000-0100-000005000000}">
          <x14:formula1>
            <xm:f>Каналы!$G$4:$G$5</xm:f>
          </x14:formula1>
          <xm:sqref>B6:B161</xm:sqref>
        </x14:dataValidation>
        <x14:dataValidation allowBlank="1" showErrorMessage="1" showInputMessage="1" type="list" xr:uid="{00000000-0002-0000-0100-000006000000}">
          <x14:formula1>
            <xm:f>ЛБ!$P$4:$P$5</xm:f>
          </x14:formula1>
          <xm:sqref>N6:N161</xm:sqref>
        </x14:dataValidation>
        <x14:dataValidation allowBlank="1" showErrorMessage="1" showInputMessage="1" type="list" xr:uid="{00000000-0002-0000-0100-000007000000}">
          <x14:formula1>
            <xm:f>ЛБ!$D$4:$D$36</xm:f>
          </x14:formula1>
          <xm:sqref>J24:J161 J6:J21</xm:sqref>
        </x14:dataValidation>
        <x14:dataValidation allowBlank="1" showErrorMessage="1" showInputMessage="1" type="list" xr:uid="{00000000-0002-0000-0100-000008000000}">
          <x14:formula1>
            <xm:f>Каналы!$F$4:$F$12</xm:f>
          </x14:formula1>
          <xm:sqref>D88:D161</xm:sqref>
        </x14:dataValidation>
      </x14:dataValidations>
    </ext>
  </extLst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C183"/>
  <sheetViews>
    <sheetView showGridLines="0" workbookViewId="0">
      <pane activePane="bottomRight" state="frozen" topLeftCell="B21" xSplit="1" ySplit="11"/>
      <selection activeCell="B1" pane="topRight" sqref="B1"/>
      <selection activeCell="A12" pane="bottomLeft" sqref="A12"/>
      <selection activeCell="E24" pane="bottomRight" sqref="E24"/>
    </sheetView>
  </sheetViews>
  <sheetFormatPr baseColWidth="10" defaultColWidth="8.83203125" defaultRowHeight="15" x14ac:dyDescent="0.2"/>
  <cols>
    <col customWidth="1" max="1" min="1" width="30.6640625"/>
    <col customWidth="1" max="3" min="2" style="63" width="12.5"/>
    <col customWidth="1" max="13" min="4" style="63" width="12.6640625"/>
    <col customWidth="1" max="14" min="14" style="63" width="13.5"/>
    <col customWidth="1" max="25" min="15" style="63" width="10.5"/>
    <col bestFit="1" customWidth="1" max="26" min="26" style="63" width="7.5"/>
    <col customWidth="1" max="28" min="27" width="8"/>
  </cols>
  <sheetData>
    <row r="1" spans="1:29" x14ac:dyDescent="0.2">
      <c r="B1"/>
    </row>
    <row r="2" spans="1:29" x14ac:dyDescent="0.2">
      <c r="A2" s="14" t="s">
        <v>7</v>
      </c>
      <c r="B2" t="s">
        <v>27</v>
      </c>
    </row>
    <row r="3" spans="1:29" x14ac:dyDescent="0.2">
      <c r="A3" s="14" t="s">
        <v>41</v>
      </c>
      <c r="B3" t="s">
        <v>27</v>
      </c>
    </row>
    <row r="4" spans="1:29" x14ac:dyDescent="0.2">
      <c r="A4" s="14" t="s">
        <v>8</v>
      </c>
      <c r="B4" t="s">
        <v>27</v>
      </c>
    </row>
    <row r="5" spans="1:29" x14ac:dyDescent="0.2">
      <c r="A5" s="14" t="s">
        <v>43</v>
      </c>
      <c r="B5" t="s">
        <v>27</v>
      </c>
    </row>
    <row r="6" spans="1:29" x14ac:dyDescent="0.2">
      <c r="A6" s="14" t="s">
        <v>45</v>
      </c>
      <c r="B6" t="s">
        <v>27</v>
      </c>
    </row>
    <row r="7" spans="1:29" x14ac:dyDescent="0.2">
      <c r="A7" s="14" t="s">
        <v>131</v>
      </c>
      <c r="B7" t="s">
        <v>27</v>
      </c>
    </row>
    <row r="8" spans="1:29" x14ac:dyDescent="0.2">
      <c r="A8" s="14" t="s">
        <v>11</v>
      </c>
      <c r="B8" t="s">
        <v>27</v>
      </c>
    </row>
    <row r="10" spans="1:29" x14ac:dyDescent="0.2">
      <c r="A10" s="14" t="s">
        <v>28</v>
      </c>
      <c r="B10" s="63" t="s">
        <v>164</v>
      </c>
      <c r="C10" s="63" t="s">
        <v>165</v>
      </c>
      <c r="D10" s="63" t="s">
        <v>166</v>
      </c>
      <c r="E10" s="63" t="s">
        <v>167</v>
      </c>
      <c r="F10" s="63" t="s">
        <v>168</v>
      </c>
      <c r="G10" s="63" t="s">
        <v>169</v>
      </c>
      <c r="H10" s="63" t="s">
        <v>170</v>
      </c>
      <c r="I10" s="63" t="s">
        <v>171</v>
      </c>
      <c r="J10" s="63" t="s">
        <v>172</v>
      </c>
      <c r="K10" s="63" t="s">
        <v>173</v>
      </c>
      <c r="L10" s="63" t="s">
        <v>174</v>
      </c>
      <c r="M10" s="63" t="s">
        <v>175</v>
      </c>
      <c r="N10" s="39" t="s">
        <v>176</v>
      </c>
      <c r="O10" s="63" t="s">
        <v>177</v>
      </c>
      <c r="P10" s="63" t="s">
        <v>178</v>
      </c>
      <c r="Q10" s="63" t="s">
        <v>179</v>
      </c>
      <c r="R10" s="63" t="s">
        <v>180</v>
      </c>
      <c r="S10" s="63" t="s">
        <v>181</v>
      </c>
      <c r="T10" s="63" t="s">
        <v>182</v>
      </c>
      <c r="U10" s="63" t="s">
        <v>183</v>
      </c>
      <c r="V10" s="63" t="s">
        <v>184</v>
      </c>
      <c r="W10" s="63" t="s">
        <v>185</v>
      </c>
      <c r="X10" s="63" t="s">
        <v>186</v>
      </c>
      <c r="Y10" s="63" t="s">
        <v>187</v>
      </c>
      <c r="Z10" s="39" t="s">
        <v>188</v>
      </c>
      <c r="AA10" s="40" t="s">
        <v>191</v>
      </c>
      <c r="AB10" s="20" t="s">
        <v>189</v>
      </c>
      <c r="AC10" s="20" t="s">
        <v>190</v>
      </c>
    </row>
    <row r="11" spans="1:29" x14ac:dyDescent="0.2">
      <c r="A11" s="56" t="s">
        <v>29</v>
      </c>
      <c r="B11" s="39">
        <v>2885444016.6900005</v>
      </c>
      <c r="C11" s="39">
        <v>4162027677</v>
      </c>
      <c r="D11" s="39">
        <v>6612997520.0500002</v>
      </c>
      <c r="E11" s="39">
        <v>1439328402.3</v>
      </c>
      <c r="F11" s="39">
        <v>2217032414.4000001</v>
      </c>
      <c r="G11" s="39">
        <v>2243375386.6399999</v>
      </c>
      <c r="H11" s="39">
        <v>2492508689</v>
      </c>
      <c r="I11" s="39">
        <v>531752537</v>
      </c>
      <c r="J11" s="39">
        <v>866079704.44000006</v>
      </c>
      <c r="K11" s="39">
        <v>668500000</v>
      </c>
      <c r="L11" s="39">
        <v>575500000</v>
      </c>
      <c r="M11" s="39">
        <v>579000000</v>
      </c>
      <c r="N11" s="39">
        <v>25273546347.52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>
        <v>0</v>
      </c>
      <c r="AA11" s="64">
        <v>0</v>
      </c>
      <c r="AB11" s="20"/>
      <c r="AC11" s="20"/>
    </row>
    <row r="12" spans="1:29" x14ac:dyDescent="0.2">
      <c r="A12" s="55" t="s">
        <v>241</v>
      </c>
      <c r="B12" s="63">
        <v>265735143.53</v>
      </c>
      <c r="C12" s="63">
        <v>208476422</v>
      </c>
      <c r="D12" s="63">
        <v>229082858.44999999</v>
      </c>
      <c r="E12" s="63">
        <v>411551916</v>
      </c>
      <c r="F12" s="63">
        <v>250003109</v>
      </c>
      <c r="G12" s="63">
        <v>278079127.63999999</v>
      </c>
      <c r="H12" s="63">
        <v>280055521</v>
      </c>
      <c r="I12" s="63">
        <v>194866859.99999997</v>
      </c>
      <c r="J12" s="63">
        <v>273124586.44000006</v>
      </c>
      <c r="K12" s="63">
        <v>270000000</v>
      </c>
      <c r="L12" s="63">
        <v>220000000</v>
      </c>
      <c r="M12" s="63">
        <v>220000000</v>
      </c>
      <c r="N12" s="39">
        <v>3100975544.0599999</v>
      </c>
      <c r="Z12" s="39">
        <v>0</v>
      </c>
      <c r="AA12" s="40">
        <v>0</v>
      </c>
      <c r="AB12" s="20"/>
      <c r="AC12" s="20"/>
    </row>
    <row r="13" spans="1:29" x14ac:dyDescent="0.2">
      <c r="A13" s="55" t="s">
        <v>242</v>
      </c>
      <c r="B13" s="63">
        <v>-10040000</v>
      </c>
      <c r="C13" s="63">
        <v>12340000</v>
      </c>
      <c r="D13" s="63">
        <v>13850000</v>
      </c>
      <c r="E13" s="63">
        <v>1670000</v>
      </c>
      <c r="F13" s="63">
        <v>5850000</v>
      </c>
      <c r="G13" s="63">
        <v>10980000</v>
      </c>
      <c r="H13" s="63">
        <v>21630000</v>
      </c>
      <c r="I13" s="63">
        <v>8450000</v>
      </c>
      <c r="J13" s="63">
        <v>9560000</v>
      </c>
      <c r="K13" s="63">
        <v>5500000</v>
      </c>
      <c r="L13" s="63">
        <v>5500000</v>
      </c>
      <c r="M13" s="63">
        <v>9000000</v>
      </c>
      <c r="N13" s="39">
        <v>94290000</v>
      </c>
      <c r="Z13" s="39">
        <v>0</v>
      </c>
      <c r="AA13" s="40">
        <v>0</v>
      </c>
      <c r="AB13" s="20"/>
      <c r="AC13" s="20"/>
    </row>
    <row r="14" spans="1:29" x14ac:dyDescent="0.2">
      <c r="A14" s="55" t="s">
        <v>3</v>
      </c>
      <c r="B14" s="63">
        <v>2629748873.1600003</v>
      </c>
      <c r="C14" s="63">
        <v>3941211255</v>
      </c>
      <c r="D14" s="63">
        <v>6370064661.6000004</v>
      </c>
      <c r="E14" s="63">
        <v>1026106486.3</v>
      </c>
      <c r="F14" s="63">
        <v>1961179305.4000001</v>
      </c>
      <c r="G14" s="63">
        <v>1954316259</v>
      </c>
      <c r="H14" s="63">
        <v>2190823168</v>
      </c>
      <c r="I14" s="63">
        <v>328435677</v>
      </c>
      <c r="J14" s="63">
        <v>583395118</v>
      </c>
      <c r="K14" s="63">
        <v>393000000</v>
      </c>
      <c r="L14" s="63">
        <v>350000000</v>
      </c>
      <c r="M14" s="63">
        <v>350000000</v>
      </c>
      <c r="N14" s="39">
        <v>22078280803.459999</v>
      </c>
      <c r="Z14" s="39">
        <v>0</v>
      </c>
      <c r="AA14" s="40">
        <v>0</v>
      </c>
      <c r="AB14" s="20"/>
      <c r="AC14" s="20"/>
    </row>
    <row r="15" spans="1:29" x14ac:dyDescent="0.2">
      <c r="A15" s="56" t="s">
        <v>209</v>
      </c>
      <c r="B15" s="39">
        <v>441749774.88999999</v>
      </c>
      <c r="C15" s="39">
        <v>576629421.49000013</v>
      </c>
      <c r="D15" s="39">
        <v>699739746.78999984</v>
      </c>
      <c r="E15" s="39">
        <v>791968415.00000012</v>
      </c>
      <c r="F15" s="39">
        <v>573170999.24000013</v>
      </c>
      <c r="G15" s="39">
        <v>528687152.08999997</v>
      </c>
      <c r="H15" s="39">
        <v>413782832.65999997</v>
      </c>
      <c r="I15" s="39">
        <v>647906660.16000009</v>
      </c>
      <c r="J15" s="39">
        <v>521655163.81</v>
      </c>
      <c r="K15" s="39">
        <v>940474840.15702176</v>
      </c>
      <c r="L15" s="39">
        <v>648218901.35744262</v>
      </c>
      <c r="M15" s="39">
        <v>717818137.87011611</v>
      </c>
      <c r="N15" s="39">
        <v>7501802045.5145807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>
        <v>0</v>
      </c>
      <c r="AA15" s="64">
        <v>0</v>
      </c>
      <c r="AB15" s="20"/>
      <c r="AC15" s="20"/>
    </row>
    <row r="16" spans="1:29" x14ac:dyDescent="0.2">
      <c r="A16" s="55" t="s">
        <v>31</v>
      </c>
      <c r="L16" s="63">
        <v>24112000</v>
      </c>
      <c r="N16" s="39">
        <v>24112000</v>
      </c>
      <c r="Z16" s="39">
        <v>0</v>
      </c>
      <c r="AA16" s="40">
        <v>0</v>
      </c>
      <c r="AB16" s="20"/>
      <c r="AC16" s="20"/>
    </row>
    <row r="17" spans="1:29" x14ac:dyDescent="0.2">
      <c r="A17" s="55" t="s">
        <v>33</v>
      </c>
      <c r="B17" s="63">
        <v>4479046.6200000187</v>
      </c>
      <c r="C17" s="63">
        <v>4127138.2700000196</v>
      </c>
      <c r="D17" s="63">
        <v>4134853.9400000195</v>
      </c>
      <c r="E17" s="63">
        <v>5554023.080000015</v>
      </c>
      <c r="F17" s="63">
        <v>5644432.9200000111</v>
      </c>
      <c r="G17" s="63">
        <v>4588408.4200000102</v>
      </c>
      <c r="H17" s="63">
        <v>4633226.980000006</v>
      </c>
      <c r="I17" s="63">
        <v>4601561.7400000012</v>
      </c>
      <c r="J17" s="63">
        <v>4227523.730000006</v>
      </c>
      <c r="K17" s="63">
        <v>3000000</v>
      </c>
      <c r="L17" s="63">
        <v>3000000</v>
      </c>
      <c r="M17" s="63">
        <v>3000000</v>
      </c>
      <c r="N17" s="39">
        <v>50990215.7000001</v>
      </c>
      <c r="Z17" s="39">
        <v>0</v>
      </c>
      <c r="AA17" s="40">
        <v>0</v>
      </c>
      <c r="AB17" s="20"/>
      <c r="AC17" s="20"/>
    </row>
    <row r="18" spans="1:29" x14ac:dyDescent="0.2">
      <c r="A18" s="55" t="s">
        <v>244</v>
      </c>
      <c r="H18" s="63">
        <v>373954.08000000007</v>
      </c>
      <c r="I18" s="63">
        <v>-0.01</v>
      </c>
      <c r="N18" s="39">
        <v>373954.07000000007</v>
      </c>
      <c r="Z18" s="39">
        <v>0</v>
      </c>
      <c r="AA18" s="40">
        <v>0</v>
      </c>
      <c r="AB18" s="20"/>
      <c r="AC18" s="20"/>
    </row>
    <row r="19" spans="1:29" x14ac:dyDescent="0.2">
      <c r="A19" s="55" t="s">
        <v>2</v>
      </c>
      <c r="B19" s="63">
        <v>340213796.01999998</v>
      </c>
      <c r="C19" s="63">
        <v>341440427.77000004</v>
      </c>
      <c r="D19" s="63">
        <v>437919306.31999999</v>
      </c>
      <c r="E19" s="63">
        <v>478820157.58000004</v>
      </c>
      <c r="F19" s="63">
        <v>381894005.83000004</v>
      </c>
      <c r="G19" s="63">
        <v>268749640.44999999</v>
      </c>
      <c r="H19" s="63">
        <v>242637852.19</v>
      </c>
      <c r="I19" s="63">
        <v>376921475.41000003</v>
      </c>
      <c r="J19" s="63">
        <v>356901099.94</v>
      </c>
      <c r="K19" s="63">
        <v>170250000</v>
      </c>
      <c r="L19" s="63">
        <v>170250000</v>
      </c>
      <c r="M19" s="63">
        <v>170250000</v>
      </c>
      <c r="N19" s="39">
        <v>3736247761.5099998</v>
      </c>
      <c r="Z19" s="39">
        <v>0</v>
      </c>
      <c r="AA19" s="40">
        <v>0</v>
      </c>
      <c r="AB19" s="20"/>
      <c r="AC19" s="20"/>
    </row>
    <row r="20" spans="1:29" x14ac:dyDescent="0.2">
      <c r="A20" s="55" t="s">
        <v>246</v>
      </c>
      <c r="B20" s="63">
        <v>85774311.719999999</v>
      </c>
      <c r="C20" s="63">
        <v>133664686.13000001</v>
      </c>
      <c r="D20" s="63">
        <v>183895796.11000001</v>
      </c>
      <c r="E20" s="63">
        <v>209671484.55000001</v>
      </c>
      <c r="F20" s="63">
        <v>169267831.02000001</v>
      </c>
      <c r="G20" s="63">
        <v>239688921.73000002</v>
      </c>
      <c r="H20" s="63">
        <v>154310696.38</v>
      </c>
      <c r="I20" s="63">
        <v>223981831.74999997</v>
      </c>
      <c r="J20" s="63">
        <v>151093559.25</v>
      </c>
      <c r="K20" s="63">
        <v>764714940.15702176</v>
      </c>
      <c r="L20" s="63">
        <v>448347001.35744256</v>
      </c>
      <c r="M20" s="63">
        <v>542058237.87011611</v>
      </c>
      <c r="N20" s="39">
        <v>3306469298.0245805</v>
      </c>
      <c r="Z20" s="39">
        <v>0</v>
      </c>
      <c r="AA20" s="40">
        <v>0</v>
      </c>
      <c r="AB20" s="20"/>
      <c r="AC20" s="20"/>
    </row>
    <row r="21" spans="1:29" x14ac:dyDescent="0.2">
      <c r="A21" s="55" t="s">
        <v>252</v>
      </c>
      <c r="B21" s="63">
        <v>1885052.5399999996</v>
      </c>
      <c r="C21" s="63">
        <v>3749114.310000001</v>
      </c>
      <c r="D21" s="63">
        <v>3451018.1399999997</v>
      </c>
      <c r="E21" s="63">
        <v>7409143.2299999977</v>
      </c>
      <c r="F21" s="63">
        <v>3730224.540000001</v>
      </c>
      <c r="G21" s="63">
        <v>5077303.330000001</v>
      </c>
      <c r="H21" s="63">
        <v>3260473.1900000013</v>
      </c>
      <c r="I21" s="63">
        <v>2542562.37</v>
      </c>
      <c r="J21" s="63">
        <v>1843966.62</v>
      </c>
      <c r="N21" s="39">
        <v>32948858.270000003</v>
      </c>
      <c r="Z21" s="39">
        <v>0</v>
      </c>
      <c r="AA21" s="40">
        <v>0</v>
      </c>
      <c r="AB21" s="20"/>
      <c r="AC21" s="20"/>
    </row>
    <row r="22" spans="1:29" x14ac:dyDescent="0.2">
      <c r="A22" s="55" t="s">
        <v>253</v>
      </c>
      <c r="B22" s="63">
        <v>1629991.6800000004</v>
      </c>
      <c r="C22" s="63">
        <v>2077277.6400000001</v>
      </c>
      <c r="D22" s="63">
        <v>2577605.2899999996</v>
      </c>
      <c r="E22" s="63">
        <v>2113243.7000000002</v>
      </c>
      <c r="F22" s="63">
        <v>2840493.84</v>
      </c>
      <c r="G22" s="63">
        <v>2750863.2399999998</v>
      </c>
      <c r="H22" s="63">
        <v>2997070.2000000007</v>
      </c>
      <c r="I22" s="63">
        <v>2860870.8300000005</v>
      </c>
      <c r="J22" s="63">
        <v>2393164.8899999997</v>
      </c>
      <c r="N22" s="39">
        <v>22240581.310000002</v>
      </c>
      <c r="Z22" s="39">
        <v>0</v>
      </c>
      <c r="AA22" s="40">
        <v>0</v>
      </c>
      <c r="AB22" s="20"/>
      <c r="AC22" s="20"/>
    </row>
    <row r="23" spans="1:29" x14ac:dyDescent="0.2">
      <c r="A23" s="55" t="s">
        <v>245</v>
      </c>
      <c r="B23" s="63">
        <v>0</v>
      </c>
      <c r="C23" s="63">
        <v>85000000</v>
      </c>
      <c r="D23" s="63">
        <v>60000000</v>
      </c>
      <c r="E23" s="63">
        <v>80000000</v>
      </c>
      <c r="F23" s="63">
        <v>0</v>
      </c>
      <c r="G23" s="63">
        <v>0</v>
      </c>
      <c r="H23" s="63">
        <v>0</v>
      </c>
      <c r="I23" s="63">
        <v>30000000</v>
      </c>
      <c r="J23" s="63">
        <v>0</v>
      </c>
      <c r="N23" s="39">
        <v>255000000</v>
      </c>
      <c r="Z23" s="39">
        <v>0</v>
      </c>
      <c r="AA23" s="40">
        <v>0</v>
      </c>
      <c r="AB23" s="20"/>
      <c r="AC23" s="20"/>
    </row>
    <row r="24" spans="1:29" x14ac:dyDescent="0.2">
      <c r="A24" s="55" t="s">
        <v>249</v>
      </c>
      <c r="B24" s="63">
        <v>86937.209999999992</v>
      </c>
      <c r="C24" s="63">
        <v>0</v>
      </c>
      <c r="D24" s="63">
        <v>52231.56</v>
      </c>
      <c r="E24" s="63">
        <v>19451.63</v>
      </c>
      <c r="F24" s="63">
        <v>48014.149999999994</v>
      </c>
      <c r="G24" s="63">
        <v>112944.58000000002</v>
      </c>
      <c r="H24" s="63">
        <v>0</v>
      </c>
      <c r="I24" s="63">
        <v>38708.199999999997</v>
      </c>
      <c r="J24" s="63">
        <v>-2700.99</v>
      </c>
      <c r="N24" s="39">
        <v>355586.34</v>
      </c>
      <c r="Z24" s="39">
        <v>0</v>
      </c>
      <c r="AA24" s="40">
        <v>0</v>
      </c>
      <c r="AB24" s="20"/>
      <c r="AC24" s="20"/>
    </row>
    <row r="25" spans="1:29" x14ac:dyDescent="0.2">
      <c r="A25" s="55" t="s">
        <v>32</v>
      </c>
      <c r="B25" s="63">
        <v>7023512.7000000002</v>
      </c>
      <c r="C25" s="63">
        <v>6057238.25</v>
      </c>
      <c r="D25" s="63">
        <v>7153090</v>
      </c>
      <c r="E25" s="63">
        <v>8713385.6399999987</v>
      </c>
      <c r="F25" s="63">
        <v>9625379.2500000019</v>
      </c>
      <c r="G25" s="63">
        <v>7747570.3399999999</v>
      </c>
      <c r="H25" s="63">
        <v>5232509.6400000006</v>
      </c>
      <c r="I25" s="63">
        <v>6813129.8700000001</v>
      </c>
      <c r="J25" s="63">
        <v>5080830.370000001</v>
      </c>
      <c r="K25" s="63">
        <v>2509900</v>
      </c>
      <c r="L25" s="63">
        <v>2509900</v>
      </c>
      <c r="M25" s="63">
        <v>2509900</v>
      </c>
      <c r="N25" s="39">
        <v>70976346.059999987</v>
      </c>
      <c r="Z25" s="39">
        <v>0</v>
      </c>
      <c r="AA25" s="40">
        <v>0</v>
      </c>
      <c r="AB25" s="20"/>
      <c r="AC25" s="20"/>
    </row>
    <row r="26" spans="1:29" x14ac:dyDescent="0.2">
      <c r="A26" s="55" t="s">
        <v>250</v>
      </c>
      <c r="B26" s="63">
        <v>462576.39999999997</v>
      </c>
      <c r="C26" s="63">
        <v>413099.11999999982</v>
      </c>
      <c r="D26" s="63">
        <v>402065.42999999988</v>
      </c>
      <c r="E26" s="63">
        <v>-430844.41000000038</v>
      </c>
      <c r="F26" s="63">
        <v>-9312.31</v>
      </c>
      <c r="G26" s="63">
        <v>0</v>
      </c>
      <c r="N26" s="39">
        <v>837584.22999999928</v>
      </c>
      <c r="Z26" s="39">
        <v>0</v>
      </c>
      <c r="AA26" s="40">
        <v>0</v>
      </c>
      <c r="AB26" s="20"/>
      <c r="AC26" s="20"/>
    </row>
    <row r="27" spans="1:29" x14ac:dyDescent="0.2">
      <c r="A27" s="55" t="s">
        <v>251</v>
      </c>
      <c r="B27" s="63">
        <v>194550</v>
      </c>
      <c r="C27" s="63">
        <v>100440</v>
      </c>
      <c r="D27" s="63">
        <v>153780</v>
      </c>
      <c r="E27" s="63">
        <v>98370</v>
      </c>
      <c r="F27" s="63">
        <v>129930</v>
      </c>
      <c r="G27" s="63">
        <v>-28500</v>
      </c>
      <c r="H27" s="63">
        <v>337050</v>
      </c>
      <c r="I27" s="63">
        <v>146520</v>
      </c>
      <c r="J27" s="63">
        <v>117720</v>
      </c>
      <c r="N27" s="39">
        <v>1249860</v>
      </c>
      <c r="Z27" s="39">
        <v>0</v>
      </c>
      <c r="AA27" s="40">
        <v>0</v>
      </c>
      <c r="AB27" s="20"/>
      <c r="AC27" s="20"/>
    </row>
    <row r="28" spans="1:29" x14ac:dyDescent="0.2">
      <c r="A28" s="56" t="s">
        <v>205</v>
      </c>
      <c r="B28" s="39">
        <v>272090812.97000003</v>
      </c>
      <c r="C28" s="39">
        <v>197534119.7400001</v>
      </c>
      <c r="D28" s="39">
        <v>158350234.79000002</v>
      </c>
      <c r="E28" s="39">
        <v>306972687.55000001</v>
      </c>
      <c r="F28" s="39">
        <v>255837217.5</v>
      </c>
      <c r="G28" s="39">
        <v>331395908.25000006</v>
      </c>
      <c r="H28" s="39">
        <v>512870177.04000002</v>
      </c>
      <c r="I28" s="39">
        <v>412176181.06999999</v>
      </c>
      <c r="J28" s="39">
        <v>351064000.56999999</v>
      </c>
      <c r="K28" s="39">
        <v>139847467.27952111</v>
      </c>
      <c r="L28" s="39">
        <v>154511638.60552692</v>
      </c>
      <c r="M28" s="39">
        <v>154705049.48634478</v>
      </c>
      <c r="N28" s="39">
        <v>3247355494.8513932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>
        <v>0</v>
      </c>
      <c r="AA28" s="64">
        <v>0</v>
      </c>
      <c r="AB28" s="20"/>
      <c r="AC28" s="20"/>
    </row>
    <row r="29" spans="1:29" x14ac:dyDescent="0.2">
      <c r="A29" s="55" t="s">
        <v>247</v>
      </c>
      <c r="B29" s="63">
        <v>45539489.99000001</v>
      </c>
      <c r="C29" s="63">
        <v>50830397</v>
      </c>
      <c r="D29" s="63">
        <v>30800558</v>
      </c>
      <c r="E29" s="63">
        <v>44427530</v>
      </c>
      <c r="F29" s="63">
        <v>32141234</v>
      </c>
      <c r="G29" s="63">
        <v>30905468</v>
      </c>
      <c r="H29" s="63">
        <v>11352350</v>
      </c>
      <c r="I29" s="63">
        <v>-5019691</v>
      </c>
      <c r="J29" s="63">
        <v>1500000</v>
      </c>
      <c r="K29" s="63">
        <v>3500000</v>
      </c>
      <c r="L29" s="63">
        <v>18000000</v>
      </c>
      <c r="M29" s="63">
        <v>18000000</v>
      </c>
      <c r="N29" s="39">
        <v>281977335.99000001</v>
      </c>
      <c r="Z29" s="39">
        <v>0</v>
      </c>
      <c r="AA29" s="40">
        <v>0</v>
      </c>
      <c r="AB29" s="20"/>
      <c r="AC29" s="20"/>
    </row>
    <row r="30" spans="1:29" x14ac:dyDescent="0.2">
      <c r="A30" s="55" t="s">
        <v>248</v>
      </c>
      <c r="B30" s="63">
        <v>193998299.61000001</v>
      </c>
      <c r="C30" s="63">
        <v>100457592.73</v>
      </c>
      <c r="D30" s="63">
        <v>83488474.960000008</v>
      </c>
      <c r="E30" s="63">
        <v>227686083.22999999</v>
      </c>
      <c r="F30" s="63">
        <v>182977106.63999999</v>
      </c>
      <c r="G30" s="63">
        <v>256878185.97999999</v>
      </c>
      <c r="H30" s="63">
        <v>465710087.70999998</v>
      </c>
      <c r="I30" s="63">
        <v>366000194.19</v>
      </c>
      <c r="J30" s="63">
        <v>307874378.38</v>
      </c>
      <c r="K30" s="63">
        <v>140000000</v>
      </c>
      <c r="L30" s="63">
        <v>140000000</v>
      </c>
      <c r="M30" s="63">
        <v>140000000</v>
      </c>
      <c r="N30" s="39">
        <v>2605070403.4300003</v>
      </c>
      <c r="Z30" s="39">
        <v>0</v>
      </c>
      <c r="AA30" s="40">
        <v>0</v>
      </c>
      <c r="AB30" s="20"/>
      <c r="AC30" s="20"/>
    </row>
    <row r="31" spans="1:29" x14ac:dyDescent="0.2">
      <c r="A31" s="55" t="s">
        <v>254</v>
      </c>
      <c r="B31" s="63">
        <v>32547109.370000001</v>
      </c>
      <c r="C31" s="63">
        <v>46227426.750000089</v>
      </c>
      <c r="D31" s="63">
        <v>44040139.830000013</v>
      </c>
      <c r="E31" s="63">
        <v>34850041.32</v>
      </c>
      <c r="F31" s="63">
        <v>40723874.860000029</v>
      </c>
      <c r="G31" s="63">
        <v>43604231.270000026</v>
      </c>
      <c r="H31" s="63">
        <v>35799993.670000009</v>
      </c>
      <c r="I31" s="63">
        <v>51187726.459999986</v>
      </c>
      <c r="J31" s="63">
        <v>41682075.199999996</v>
      </c>
      <c r="K31" s="63">
        <v>-3652532.7204788923</v>
      </c>
      <c r="L31" s="63">
        <v>-3488361.394473061</v>
      </c>
      <c r="M31" s="63">
        <v>-3294950.5136552043</v>
      </c>
      <c r="N31" s="39">
        <v>360226774.10139298</v>
      </c>
      <c r="Z31" s="39">
        <v>0</v>
      </c>
      <c r="AA31" s="40">
        <v>0</v>
      </c>
      <c r="AB31" s="20"/>
      <c r="AC31" s="20"/>
    </row>
    <row r="32" spans="1:29" x14ac:dyDescent="0.2">
      <c r="A32" s="55" t="s">
        <v>255</v>
      </c>
      <c r="B32" s="63">
        <v>5914</v>
      </c>
      <c r="C32" s="63">
        <v>18703.260000000002</v>
      </c>
      <c r="D32" s="63">
        <v>21062</v>
      </c>
      <c r="E32" s="63">
        <v>9033</v>
      </c>
      <c r="F32" s="63">
        <v>-4998</v>
      </c>
      <c r="G32" s="63">
        <v>8023</v>
      </c>
      <c r="H32" s="63">
        <v>7745.66</v>
      </c>
      <c r="I32" s="63">
        <v>7951.42</v>
      </c>
      <c r="J32" s="63">
        <v>7546.99</v>
      </c>
      <c r="N32" s="39">
        <v>80981.33</v>
      </c>
      <c r="Z32" s="39">
        <v>0</v>
      </c>
      <c r="AA32" s="40">
        <v>0</v>
      </c>
      <c r="AB32" s="20"/>
      <c r="AC32" s="20"/>
    </row>
    <row r="33" spans="1:29" x14ac:dyDescent="0.2">
      <c r="A33" s="13" t="s">
        <v>195</v>
      </c>
      <c r="N33" s="39">
        <v>0</v>
      </c>
      <c r="Z33" s="39">
        <v>0</v>
      </c>
      <c r="AA33" s="40" t="e">
        <v>#VALUE!</v>
      </c>
      <c r="AB33" s="20"/>
      <c r="AC33" s="20"/>
    </row>
    <row r="34" spans="1:29" x14ac:dyDescent="0.2">
      <c r="A34" s="13" t="s">
        <v>35</v>
      </c>
      <c r="B34" s="63">
        <v>3599284604.5499997</v>
      </c>
      <c r="C34" s="63">
        <v>4936191218.2300005</v>
      </c>
      <c r="D34" s="63">
        <v>7471087501.6300001</v>
      </c>
      <c r="E34" s="63">
        <v>2538269504.8500004</v>
      </c>
      <c r="F34" s="63">
        <v>3046040631.1400003</v>
      </c>
      <c r="G34" s="63">
        <v>3103458446.9799995</v>
      </c>
      <c r="H34" s="63">
        <v>3419161698.6999998</v>
      </c>
      <c r="I34" s="63">
        <v>1591835378.23</v>
      </c>
      <c r="J34" s="63">
        <v>1738798868.8200002</v>
      </c>
      <c r="K34" s="63">
        <v>1748822307.436543</v>
      </c>
      <c r="L34" s="63">
        <v>1378230539.9629695</v>
      </c>
      <c r="M34" s="63">
        <v>1451523187.356461</v>
      </c>
      <c r="N34" s="39">
        <v>36022703887.885971</v>
      </c>
      <c r="Z34" s="39">
        <v>0</v>
      </c>
      <c r="AA34" s="40">
        <v>0</v>
      </c>
      <c r="AB34" s="20"/>
      <c r="AC34" s="20"/>
    </row>
    <row r="35" spans="1:29" x14ac:dyDescent="0.2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9" x14ac:dyDescent="0.2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9" x14ac:dyDescent="0.2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9" x14ac:dyDescent="0.2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9" x14ac:dyDescent="0.2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9" x14ac:dyDescent="0.2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9" x14ac:dyDescent="0.2"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9" x14ac:dyDescent="0.2"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9" x14ac:dyDescent="0.2"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9" x14ac:dyDescent="0.2"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9" x14ac:dyDescent="0.2"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9" x14ac:dyDescent="0.2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9" x14ac:dyDescent="0.2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9" x14ac:dyDescent="0.2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4:26" x14ac:dyDescent="0.2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4:26" x14ac:dyDescent="0.2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4:26" x14ac:dyDescent="0.2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4:26" x14ac:dyDescent="0.2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4:26" x14ac:dyDescent="0.2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4:26" x14ac:dyDescent="0.2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4:26" x14ac:dyDescent="0.2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4:26" x14ac:dyDescent="0.2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4:26" x14ac:dyDescent="0.2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4:26" x14ac:dyDescent="0.2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4:26" x14ac:dyDescent="0.2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4:26" x14ac:dyDescent="0.2"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4:26" x14ac:dyDescent="0.2"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4:26" x14ac:dyDescent="0.2"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4:26" x14ac:dyDescent="0.2"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4:26" x14ac:dyDescent="0.2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4:26" x14ac:dyDescent="0.2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4:26" x14ac:dyDescent="0.2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4:26" x14ac:dyDescent="0.2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4:26" x14ac:dyDescent="0.2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4:26" x14ac:dyDescent="0.2"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4:26" x14ac:dyDescent="0.2"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4:26" x14ac:dyDescent="0.2"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4:26" x14ac:dyDescent="0.2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4:26" x14ac:dyDescent="0.2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4:26" x14ac:dyDescent="0.2"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4:26" x14ac:dyDescent="0.2"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4:26" x14ac:dyDescent="0.2"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4:26" x14ac:dyDescent="0.2"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4:26" x14ac:dyDescent="0.2"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4:26" x14ac:dyDescent="0.2"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4:26" x14ac:dyDescent="0.2"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4:26" x14ac:dyDescent="0.2"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4:26" x14ac:dyDescent="0.2"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4:26" x14ac:dyDescent="0.2"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4:26" x14ac:dyDescent="0.2"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4:26" x14ac:dyDescent="0.2"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4:26" x14ac:dyDescent="0.2"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4:26" x14ac:dyDescent="0.2"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4:26" x14ac:dyDescent="0.2"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4:26" x14ac:dyDescent="0.2"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4:26" x14ac:dyDescent="0.2"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4:26" x14ac:dyDescent="0.2"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4:26" x14ac:dyDescent="0.2"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4:26" x14ac:dyDescent="0.2"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4:26" x14ac:dyDescent="0.2"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4:26" x14ac:dyDescent="0.2"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4:26" x14ac:dyDescent="0.2"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4:26" x14ac:dyDescent="0.2"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4:26" x14ac:dyDescent="0.2"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4:26" x14ac:dyDescent="0.2"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4:26" x14ac:dyDescent="0.2"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4:26" x14ac:dyDescent="0.2"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4:26" x14ac:dyDescent="0.2"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4:26" x14ac:dyDescent="0.2"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4:26" x14ac:dyDescent="0.2"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4:26" x14ac:dyDescent="0.2"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4:26" x14ac:dyDescent="0.2"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4:26" x14ac:dyDescent="0.2"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4:26" x14ac:dyDescent="0.2"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4:26" x14ac:dyDescent="0.2"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4:26" x14ac:dyDescent="0.2"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4:26" x14ac:dyDescent="0.2"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4:26" x14ac:dyDescent="0.2"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4:26" x14ac:dyDescent="0.2"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4:26" x14ac:dyDescent="0.2"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4:26" x14ac:dyDescent="0.2"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4:26" x14ac:dyDescent="0.2"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4:26" x14ac:dyDescent="0.2"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4:26" x14ac:dyDescent="0.2"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4:26" x14ac:dyDescent="0.2"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4:26" x14ac:dyDescent="0.2"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4:26" x14ac:dyDescent="0.2"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4:26" x14ac:dyDescent="0.2"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4:26" x14ac:dyDescent="0.2"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4:26" x14ac:dyDescent="0.2"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4:26" x14ac:dyDescent="0.2"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4:26" x14ac:dyDescent="0.2"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4:26" x14ac:dyDescent="0.2"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4:26" x14ac:dyDescent="0.2"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4:26" x14ac:dyDescent="0.2"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4:26" x14ac:dyDescent="0.2"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4:26" x14ac:dyDescent="0.2"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4:26" x14ac:dyDescent="0.2"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4:26" x14ac:dyDescent="0.2"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4:26" x14ac:dyDescent="0.2"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4:26" x14ac:dyDescent="0.2"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4:26" x14ac:dyDescent="0.2"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4:26" x14ac:dyDescent="0.2"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4:26" x14ac:dyDescent="0.2"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4:26" x14ac:dyDescent="0.2"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4:26" x14ac:dyDescent="0.2"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4:26" x14ac:dyDescent="0.2"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4:26" x14ac:dyDescent="0.2"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4:26" x14ac:dyDescent="0.2"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4:26" x14ac:dyDescent="0.2"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4:26" x14ac:dyDescent="0.2"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4:26" x14ac:dyDescent="0.2"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4:26" x14ac:dyDescent="0.2"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4:26" x14ac:dyDescent="0.2"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4:26" x14ac:dyDescent="0.2"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4:26" x14ac:dyDescent="0.2"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4:26" x14ac:dyDescent="0.2"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4:26" x14ac:dyDescent="0.2"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4:26" x14ac:dyDescent="0.2"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4:26" x14ac:dyDescent="0.2"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4:26" x14ac:dyDescent="0.2"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4:26" x14ac:dyDescent="0.2"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4:26" x14ac:dyDescent="0.2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4:26" x14ac:dyDescent="0.2"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4:26" x14ac:dyDescent="0.2"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4:26" x14ac:dyDescent="0.2"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4:26" x14ac:dyDescent="0.2"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4:26" x14ac:dyDescent="0.2"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4:26" x14ac:dyDescent="0.2"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4:26" x14ac:dyDescent="0.2"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4:26" x14ac:dyDescent="0.2"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4:26" x14ac:dyDescent="0.2"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4:26" x14ac:dyDescent="0.2"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4:26" x14ac:dyDescent="0.2"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4:26" x14ac:dyDescent="0.2"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4:26" x14ac:dyDescent="0.2"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4:26" x14ac:dyDescent="0.2"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4:26" x14ac:dyDescent="0.2"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4:26" x14ac:dyDescent="0.2"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4:26" x14ac:dyDescent="0.2"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4:26" x14ac:dyDescent="0.2"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4:26" x14ac:dyDescent="0.2"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4:26" x14ac:dyDescent="0.2"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4:26" x14ac:dyDescent="0.2"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4:26" x14ac:dyDescent="0.2"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4:26" x14ac:dyDescent="0.2"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4:26" x14ac:dyDescent="0.2"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4:26" x14ac:dyDescent="0.2"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4:26" x14ac:dyDescent="0.2"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B1:M16"/>
  <sheetViews>
    <sheetView showGridLines="0" workbookViewId="0" zoomScale="85" zoomScaleNormal="85">
      <pane activePane="bottomLeft" state="frozen" topLeftCell="A4" ySplit="3"/>
      <selection activeCell="C19" pane="bottomLeft" sqref="C19"/>
    </sheetView>
  </sheetViews>
  <sheetFormatPr baseColWidth="10" defaultColWidth="8.83203125" defaultRowHeight="15" outlineLevelCol="1" x14ac:dyDescent="0.2"/>
  <cols>
    <col customWidth="1" max="1" min="1" width="3.6640625"/>
    <col customWidth="1" max="2" min="2" width="33.6640625"/>
    <col customWidth="1" max="3" min="3" width="19.5"/>
    <col customWidth="1" max="4" min="4" outlineLevel="1" width="7.33203125"/>
    <col customWidth="1" max="5" min="5" width="9.33203125"/>
    <col customWidth="1" max="6" min="6" width="18"/>
    <col customWidth="1" max="7" min="7" width="20.33203125"/>
    <col customWidth="1" max="8" min="8" width="9.6640625"/>
    <col customWidth="1" max="11" min="9" width="20.33203125"/>
    <col bestFit="1" customWidth="1" max="12" min="12" width="18.6640625"/>
    <col customWidth="1" max="13" min="13" width="29.6640625"/>
    <col customWidth="1" max="14" min="14" width="17.6640625"/>
    <col customWidth="1" max="15" min="15" width="22.5"/>
    <col customWidth="1" max="16" min="16" width="16.1640625"/>
    <col customWidth="1" max="17" min="17" width="18.5"/>
  </cols>
  <sheetData>
    <row customFormat="1" r="1" s="19" spans="2:13" x14ac:dyDescent="0.2">
      <c r="B1" s="18"/>
      <c r="C1" s="18"/>
      <c r="D1" s="18"/>
    </row>
    <row customFormat="1" r="2" s="19" spans="2:13" x14ac:dyDescent="0.2">
      <c r="B2" s="18" t="s">
        <v>150</v>
      </c>
      <c r="D2" s="18"/>
    </row>
    <row r="3" spans="2:13" x14ac:dyDescent="0.2">
      <c r="B3" s="25" t="s">
        <v>9</v>
      </c>
      <c r="C3" s="25" t="s">
        <v>8</v>
      </c>
      <c r="D3" s="26" t="s">
        <v>49</v>
      </c>
      <c r="F3" s="25" t="s">
        <v>9</v>
      </c>
      <c r="G3" s="25" t="s">
        <v>7</v>
      </c>
      <c r="I3" s="26" t="s">
        <v>5</v>
      </c>
      <c r="J3" s="26" t="s">
        <v>262</v>
      </c>
      <c r="K3" s="26" t="s">
        <v>40</v>
      </c>
      <c r="L3" s="26" t="s">
        <v>201</v>
      </c>
      <c r="M3" s="26" t="s">
        <v>34</v>
      </c>
    </row>
    <row r="4" spans="2:13" x14ac:dyDescent="0.2">
      <c r="B4" s="30" t="s">
        <v>40</v>
      </c>
      <c r="C4" s="20" t="s">
        <v>40</v>
      </c>
      <c r="D4" s="20"/>
      <c r="F4" s="30" t="s">
        <v>6</v>
      </c>
      <c r="G4" s="17" t="s">
        <v>47</v>
      </c>
      <c r="I4" s="30" t="s">
        <v>6</v>
      </c>
      <c r="J4" s="30" t="s">
        <v>205</v>
      </c>
      <c r="K4" s="30" t="s">
        <v>40</v>
      </c>
      <c r="L4" s="30" t="s">
        <v>201</v>
      </c>
      <c r="M4" s="30" t="s">
        <v>34</v>
      </c>
    </row>
    <row r="5" spans="2:13" x14ac:dyDescent="0.2">
      <c r="B5" s="30" t="s">
        <v>200</v>
      </c>
      <c r="C5" s="20" t="s">
        <v>40</v>
      </c>
      <c r="D5" s="20"/>
      <c r="F5" s="30" t="s">
        <v>204</v>
      </c>
      <c r="G5" t="s">
        <v>4</v>
      </c>
      <c r="I5" s="30" t="s">
        <v>204</v>
      </c>
      <c r="K5" s="30" t="s">
        <v>200</v>
      </c>
    </row>
    <row r="6" spans="2:13" x14ac:dyDescent="0.2">
      <c r="B6" s="30" t="s">
        <v>201</v>
      </c>
      <c r="C6" s="20" t="s">
        <v>201</v>
      </c>
      <c r="D6" s="20"/>
      <c r="F6" s="30" t="s">
        <v>206</v>
      </c>
      <c r="I6" s="30" t="s">
        <v>206</v>
      </c>
    </row>
    <row r="7" spans="2:13" x14ac:dyDescent="0.2">
      <c r="B7" s="30" t="s">
        <v>34</v>
      </c>
      <c r="C7" s="20" t="s">
        <v>34</v>
      </c>
      <c r="D7" s="20"/>
      <c r="F7" s="30" t="s">
        <v>207</v>
      </c>
      <c r="I7" s="30" t="s">
        <v>207</v>
      </c>
    </row>
    <row r="8" spans="2:13" x14ac:dyDescent="0.2">
      <c r="B8" s="30" t="s">
        <v>6</v>
      </c>
      <c r="C8" s="20" t="s">
        <v>5</v>
      </c>
      <c r="D8" s="20"/>
      <c r="F8" s="30" t="s">
        <v>205</v>
      </c>
    </row>
    <row r="9" spans="2:13" x14ac:dyDescent="0.2">
      <c r="B9" s="30" t="s">
        <v>204</v>
      </c>
      <c r="C9" s="20" t="s">
        <v>5</v>
      </c>
      <c r="D9" s="20"/>
      <c r="F9" s="30" t="s">
        <v>40</v>
      </c>
    </row>
    <row r="10" spans="2:13" x14ac:dyDescent="0.2">
      <c r="B10" s="30" t="s">
        <v>206</v>
      </c>
      <c r="C10" s="20" t="s">
        <v>5</v>
      </c>
      <c r="D10" s="20"/>
      <c r="F10" s="30" t="s">
        <v>200</v>
      </c>
    </row>
    <row r="11" spans="2:13" x14ac:dyDescent="0.2">
      <c r="B11" s="30" t="s">
        <v>207</v>
      </c>
      <c r="C11" s="20" t="s">
        <v>5</v>
      </c>
      <c r="D11" s="20"/>
      <c r="F11" s="30" t="s">
        <v>201</v>
      </c>
    </row>
    <row r="12" spans="2:13" x14ac:dyDescent="0.2">
      <c r="B12" s="30" t="s">
        <v>205</v>
      </c>
      <c r="C12" s="20" t="s">
        <v>262</v>
      </c>
      <c r="D12" s="20"/>
      <c r="F12" s="30" t="s">
        <v>34</v>
      </c>
    </row>
    <row customHeight="1" ht="26.25" r="15" spans="2:13" x14ac:dyDescent="0.2"/>
    <row customHeight="1" ht="26.25" r="16" spans="2:13" x14ac:dyDescent="0.2"/>
  </sheetData>
  <autoFilter ref="A3:D12" xr:uid="{00000000-0009-0000-0000-000003000000}"/>
  <pageMargins bottom="0.75" footer="0.3" header="0.3" left="0.7" right="0.7" top="0.75"/>
  <pageSetup orientation="portrait" paperSize="9" r:id="rId1"/>
  <tableParts count="1">
    <tablePart r:id="rId2"/>
  </tableParts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B1:I91"/>
  <sheetViews>
    <sheetView showGridLines="0" workbookViewId="0" zoomScale="90" zoomScaleNormal="90">
      <pane activePane="bottomLeft" state="frozen" topLeftCell="A3" ySplit="2"/>
      <selection activeCell="F13" pane="bottomLeft" sqref="F13"/>
    </sheetView>
  </sheetViews>
  <sheetFormatPr baseColWidth="10" defaultColWidth="8.83203125" defaultRowHeight="15" x14ac:dyDescent="0.2"/>
  <cols>
    <col bestFit="1" customWidth="1" max="2" min="2" width="23.6640625"/>
    <col bestFit="1" customWidth="1" max="3" min="3" width="14.33203125"/>
    <col customWidth="1" max="5" min="5" width="5.83203125"/>
    <col customWidth="1" max="6" min="6" width="17.6640625"/>
    <col customWidth="1" max="7" min="7" width="27.33203125"/>
    <col customWidth="1" max="8" min="8" width="12.6640625"/>
    <col customWidth="1" max="9" min="9" width="120.6640625"/>
  </cols>
  <sheetData>
    <row customHeight="1" ht="80.5" r="1" spans="2:9" x14ac:dyDescent="0.2">
      <c r="B1" s="21" t="s">
        <v>148</v>
      </c>
      <c r="C1" s="22"/>
      <c r="D1" s="22"/>
      <c r="E1" s="22"/>
      <c r="F1" s="23" t="s">
        <v>143</v>
      </c>
      <c r="G1" s="22"/>
      <c r="H1" s="22"/>
      <c r="I1" s="24" t="s">
        <v>149</v>
      </c>
    </row>
    <row r="2" spans="2:9" x14ac:dyDescent="0.2">
      <c r="B2" s="25" t="s">
        <v>45</v>
      </c>
      <c r="C2" s="25" t="s">
        <v>144</v>
      </c>
      <c r="F2" s="28" t="s">
        <v>45</v>
      </c>
      <c r="G2" s="28" t="s">
        <v>131</v>
      </c>
      <c r="H2" s="25" t="s">
        <v>144</v>
      </c>
      <c r="I2" s="26" t="s">
        <v>145</v>
      </c>
    </row>
    <row r="3" spans="2:9" x14ac:dyDescent="0.2">
      <c r="B3" s="1" t="s">
        <v>50</v>
      </c>
      <c r="C3" s="1" t="s">
        <v>146</v>
      </c>
      <c r="F3" s="27" t="s">
        <v>127</v>
      </c>
      <c r="G3" s="27" t="s">
        <v>192</v>
      </c>
      <c r="H3" s="1" t="s">
        <v>147</v>
      </c>
      <c r="I3" s="27"/>
    </row>
    <row r="4" spans="2:9" x14ac:dyDescent="0.2">
      <c r="B4" s="1" t="s">
        <v>51</v>
      </c>
      <c r="C4" s="1" t="s">
        <v>146</v>
      </c>
      <c r="F4" s="27"/>
      <c r="G4" s="27"/>
      <c r="H4" s="1" t="s">
        <v>147</v>
      </c>
      <c r="I4" s="27"/>
    </row>
    <row r="5" spans="2:9" x14ac:dyDescent="0.2">
      <c r="B5" s="1" t="s">
        <v>132</v>
      </c>
      <c r="C5" s="1" t="s">
        <v>146</v>
      </c>
      <c r="F5" s="27"/>
      <c r="G5" s="27"/>
      <c r="H5" s="1" t="s">
        <v>147</v>
      </c>
      <c r="I5" s="27"/>
    </row>
    <row r="6" spans="2:9" x14ac:dyDescent="0.2">
      <c r="B6" s="1" t="s">
        <v>52</v>
      </c>
      <c r="C6" s="1" t="s">
        <v>146</v>
      </c>
      <c r="F6" s="27"/>
      <c r="G6" s="27"/>
      <c r="H6" s="1" t="s">
        <v>147</v>
      </c>
      <c r="I6" s="27"/>
    </row>
    <row r="7" spans="2:9" x14ac:dyDescent="0.2">
      <c r="B7" s="1" t="s">
        <v>53</v>
      </c>
      <c r="C7" s="1" t="s">
        <v>146</v>
      </c>
      <c r="F7" s="27"/>
      <c r="G7" s="27"/>
      <c r="H7" s="1" t="s">
        <v>147</v>
      </c>
      <c r="I7" s="27"/>
    </row>
    <row r="8" spans="2:9" x14ac:dyDescent="0.2">
      <c r="B8" s="1" t="s">
        <v>54</v>
      </c>
      <c r="C8" s="1" t="s">
        <v>146</v>
      </c>
      <c r="F8" s="27"/>
      <c r="G8" s="27"/>
      <c r="H8" s="1" t="s">
        <v>147</v>
      </c>
      <c r="I8" s="27"/>
    </row>
    <row r="9" spans="2:9" x14ac:dyDescent="0.2">
      <c r="B9" s="1" t="s">
        <v>55</v>
      </c>
      <c r="C9" s="1" t="s">
        <v>146</v>
      </c>
      <c r="F9" s="27"/>
      <c r="G9" s="27"/>
      <c r="H9" s="1" t="s">
        <v>147</v>
      </c>
      <c r="I9" s="27"/>
    </row>
    <row r="10" spans="2:9" x14ac:dyDescent="0.2">
      <c r="B10" s="1" t="s">
        <v>56</v>
      </c>
      <c r="C10" s="1" t="s">
        <v>146</v>
      </c>
      <c r="F10" s="27"/>
      <c r="G10" s="27"/>
      <c r="H10" s="1" t="s">
        <v>147</v>
      </c>
      <c r="I10" s="27"/>
    </row>
    <row r="11" spans="2:9" x14ac:dyDescent="0.2">
      <c r="B11" s="1" t="s">
        <v>133</v>
      </c>
      <c r="C11" s="1" t="s">
        <v>146</v>
      </c>
      <c r="F11" s="27"/>
      <c r="G11" s="27"/>
      <c r="H11" s="1" t="s">
        <v>147</v>
      </c>
      <c r="I11" s="27"/>
    </row>
    <row r="12" spans="2:9" x14ac:dyDescent="0.2">
      <c r="B12" s="1" t="s">
        <v>57</v>
      </c>
      <c r="C12" s="1" t="s">
        <v>146</v>
      </c>
      <c r="F12" s="27"/>
      <c r="G12" s="27"/>
      <c r="H12" s="1" t="s">
        <v>147</v>
      </c>
      <c r="I12" s="27"/>
    </row>
    <row r="13" spans="2:9" x14ac:dyDescent="0.2">
      <c r="B13" s="1" t="s">
        <v>58</v>
      </c>
      <c r="C13" s="1" t="s">
        <v>146</v>
      </c>
      <c r="F13" s="27"/>
      <c r="G13" s="27"/>
      <c r="H13" s="1" t="s">
        <v>147</v>
      </c>
      <c r="I13" s="27"/>
    </row>
    <row r="14" spans="2:9" x14ac:dyDescent="0.2">
      <c r="B14" s="1" t="s">
        <v>59</v>
      </c>
      <c r="C14" s="1" t="s">
        <v>146</v>
      </c>
      <c r="F14" s="27"/>
      <c r="G14" s="27"/>
      <c r="H14" s="1" t="s">
        <v>147</v>
      </c>
      <c r="I14" s="27"/>
    </row>
    <row r="15" spans="2:9" x14ac:dyDescent="0.2">
      <c r="B15" s="1" t="s">
        <v>60</v>
      </c>
      <c r="C15" s="1" t="s">
        <v>146</v>
      </c>
      <c r="F15" s="27"/>
      <c r="G15" s="27"/>
      <c r="H15" s="1" t="s">
        <v>147</v>
      </c>
      <c r="I15" s="27"/>
    </row>
    <row r="16" spans="2:9" x14ac:dyDescent="0.2">
      <c r="B16" s="1" t="s">
        <v>61</v>
      </c>
      <c r="C16" s="1" t="s">
        <v>146</v>
      </c>
      <c r="F16" s="27"/>
      <c r="G16" s="27"/>
      <c r="H16" s="1" t="s">
        <v>147</v>
      </c>
      <c r="I16" s="27"/>
    </row>
    <row r="17" spans="2:9" x14ac:dyDescent="0.2">
      <c r="B17" s="1" t="s">
        <v>62</v>
      </c>
      <c r="C17" s="1" t="s">
        <v>146</v>
      </c>
      <c r="F17" s="27"/>
      <c r="G17" s="27"/>
      <c r="H17" s="1" t="s">
        <v>147</v>
      </c>
      <c r="I17" s="27"/>
    </row>
    <row r="18" spans="2:9" x14ac:dyDescent="0.2">
      <c r="B18" s="1" t="s">
        <v>63</v>
      </c>
      <c r="C18" s="1" t="s">
        <v>146</v>
      </c>
      <c r="F18" s="29"/>
      <c r="G18" s="29"/>
      <c r="H18" s="1" t="s">
        <v>147</v>
      </c>
      <c r="I18" s="27"/>
    </row>
    <row r="19" spans="2:9" x14ac:dyDescent="0.2">
      <c r="B19" s="1" t="s">
        <v>64</v>
      </c>
      <c r="C19" s="1" t="s">
        <v>146</v>
      </c>
    </row>
    <row r="20" spans="2:9" x14ac:dyDescent="0.2">
      <c r="B20" s="1" t="s">
        <v>65</v>
      </c>
      <c r="C20" s="1" t="s">
        <v>146</v>
      </c>
    </row>
    <row r="21" spans="2:9" x14ac:dyDescent="0.2">
      <c r="B21" s="1" t="s">
        <v>66</v>
      </c>
      <c r="C21" s="1" t="s">
        <v>146</v>
      </c>
    </row>
    <row r="22" spans="2:9" x14ac:dyDescent="0.2">
      <c r="B22" s="1" t="s">
        <v>134</v>
      </c>
      <c r="C22" s="1" t="s">
        <v>146</v>
      </c>
    </row>
    <row r="23" spans="2:9" x14ac:dyDescent="0.2">
      <c r="B23" s="1" t="s">
        <v>67</v>
      </c>
      <c r="C23" s="1" t="s">
        <v>146</v>
      </c>
    </row>
    <row r="24" spans="2:9" x14ac:dyDescent="0.2">
      <c r="B24" s="1" t="s">
        <v>68</v>
      </c>
      <c r="C24" s="1" t="s">
        <v>146</v>
      </c>
    </row>
    <row r="25" spans="2:9" x14ac:dyDescent="0.2">
      <c r="B25" s="1" t="s">
        <v>69</v>
      </c>
      <c r="C25" s="1" t="s">
        <v>146</v>
      </c>
    </row>
    <row r="26" spans="2:9" x14ac:dyDescent="0.2">
      <c r="B26" s="1" t="s">
        <v>70</v>
      </c>
      <c r="C26" s="1" t="s">
        <v>146</v>
      </c>
    </row>
    <row r="27" spans="2:9" x14ac:dyDescent="0.2">
      <c r="B27" s="1" t="s">
        <v>71</v>
      </c>
      <c r="C27" s="1" t="s">
        <v>146</v>
      </c>
    </row>
    <row r="28" spans="2:9" x14ac:dyDescent="0.2">
      <c r="B28" s="1" t="s">
        <v>72</v>
      </c>
      <c r="C28" s="1" t="s">
        <v>146</v>
      </c>
    </row>
    <row r="29" spans="2:9" x14ac:dyDescent="0.2">
      <c r="B29" s="1" t="s">
        <v>73</v>
      </c>
      <c r="C29" s="1" t="s">
        <v>146</v>
      </c>
    </row>
    <row r="30" spans="2:9" x14ac:dyDescent="0.2">
      <c r="B30" s="1" t="s">
        <v>74</v>
      </c>
      <c r="C30" s="1" t="s">
        <v>146</v>
      </c>
    </row>
    <row r="31" spans="2:9" x14ac:dyDescent="0.2">
      <c r="B31" s="1" t="s">
        <v>75</v>
      </c>
      <c r="C31" s="1" t="s">
        <v>146</v>
      </c>
    </row>
    <row r="32" spans="2:9" x14ac:dyDescent="0.2">
      <c r="B32" s="1" t="s">
        <v>76</v>
      </c>
      <c r="C32" s="1" t="s">
        <v>146</v>
      </c>
    </row>
    <row r="33" spans="2:3" x14ac:dyDescent="0.2">
      <c r="B33" s="1" t="s">
        <v>77</v>
      </c>
      <c r="C33" s="1" t="s">
        <v>146</v>
      </c>
    </row>
    <row r="34" spans="2:3" x14ac:dyDescent="0.2">
      <c r="B34" s="1" t="s">
        <v>78</v>
      </c>
      <c r="C34" s="1" t="s">
        <v>146</v>
      </c>
    </row>
    <row r="35" spans="2:3" x14ac:dyDescent="0.2">
      <c r="B35" s="1" t="s">
        <v>79</v>
      </c>
      <c r="C35" s="1" t="s">
        <v>146</v>
      </c>
    </row>
    <row r="36" spans="2:3" x14ac:dyDescent="0.2">
      <c r="B36" s="1" t="s">
        <v>80</v>
      </c>
      <c r="C36" s="1" t="s">
        <v>146</v>
      </c>
    </row>
    <row r="37" spans="2:3" x14ac:dyDescent="0.2">
      <c r="B37" s="1" t="s">
        <v>81</v>
      </c>
      <c r="C37" s="1" t="s">
        <v>146</v>
      </c>
    </row>
    <row r="38" spans="2:3" x14ac:dyDescent="0.2">
      <c r="B38" s="1" t="s">
        <v>82</v>
      </c>
      <c r="C38" s="1" t="s">
        <v>146</v>
      </c>
    </row>
    <row r="39" spans="2:3" x14ac:dyDescent="0.2">
      <c r="B39" s="1" t="s">
        <v>83</v>
      </c>
      <c r="C39" s="1" t="s">
        <v>146</v>
      </c>
    </row>
    <row r="40" spans="2:3" x14ac:dyDescent="0.2">
      <c r="B40" s="1" t="s">
        <v>84</v>
      </c>
      <c r="C40" s="1" t="s">
        <v>146</v>
      </c>
    </row>
    <row r="41" spans="2:3" x14ac:dyDescent="0.2">
      <c r="B41" s="1" t="s">
        <v>85</v>
      </c>
      <c r="C41" s="1" t="s">
        <v>146</v>
      </c>
    </row>
    <row r="42" spans="2:3" x14ac:dyDescent="0.2">
      <c r="B42" s="1" t="s">
        <v>86</v>
      </c>
      <c r="C42" s="1" t="s">
        <v>146</v>
      </c>
    </row>
    <row r="43" spans="2:3" x14ac:dyDescent="0.2">
      <c r="B43" s="1" t="s">
        <v>87</v>
      </c>
      <c r="C43" s="1" t="s">
        <v>146</v>
      </c>
    </row>
    <row r="44" spans="2:3" x14ac:dyDescent="0.2">
      <c r="B44" s="1" t="s">
        <v>135</v>
      </c>
      <c r="C44" s="1" t="s">
        <v>146</v>
      </c>
    </row>
    <row r="45" spans="2:3" x14ac:dyDescent="0.2">
      <c r="B45" s="1" t="s">
        <v>88</v>
      </c>
      <c r="C45" s="1" t="s">
        <v>146</v>
      </c>
    </row>
    <row r="46" spans="2:3" x14ac:dyDescent="0.2">
      <c r="B46" s="1" t="s">
        <v>89</v>
      </c>
      <c r="C46" s="1" t="s">
        <v>146</v>
      </c>
    </row>
    <row r="47" spans="2:3" x14ac:dyDescent="0.2">
      <c r="B47" s="1" t="s">
        <v>136</v>
      </c>
      <c r="C47" s="1" t="s">
        <v>146</v>
      </c>
    </row>
    <row r="48" spans="2:3" x14ac:dyDescent="0.2">
      <c r="B48" s="1" t="s">
        <v>90</v>
      </c>
      <c r="C48" s="1" t="s">
        <v>146</v>
      </c>
    </row>
    <row r="49" spans="2:3" x14ac:dyDescent="0.2">
      <c r="B49" s="1" t="s">
        <v>46</v>
      </c>
      <c r="C49" s="1" t="s">
        <v>146</v>
      </c>
    </row>
    <row r="50" spans="2:3" x14ac:dyDescent="0.2">
      <c r="B50" s="1" t="s">
        <v>91</v>
      </c>
      <c r="C50" s="1" t="s">
        <v>146</v>
      </c>
    </row>
    <row r="51" spans="2:3" x14ac:dyDescent="0.2">
      <c r="B51" s="1" t="s">
        <v>92</v>
      </c>
      <c r="C51" s="1" t="s">
        <v>146</v>
      </c>
    </row>
    <row r="52" spans="2:3" x14ac:dyDescent="0.2">
      <c r="B52" s="1" t="s">
        <v>93</v>
      </c>
      <c r="C52" s="1" t="s">
        <v>146</v>
      </c>
    </row>
    <row r="53" spans="2:3" x14ac:dyDescent="0.2">
      <c r="B53" s="1" t="s">
        <v>137</v>
      </c>
      <c r="C53" s="1" t="s">
        <v>146</v>
      </c>
    </row>
    <row r="54" spans="2:3" x14ac:dyDescent="0.2">
      <c r="B54" s="1" t="s">
        <v>94</v>
      </c>
      <c r="C54" s="1" t="s">
        <v>146</v>
      </c>
    </row>
    <row r="55" spans="2:3" x14ac:dyDescent="0.2">
      <c r="B55" s="1" t="s">
        <v>95</v>
      </c>
      <c r="C55" s="1" t="s">
        <v>146</v>
      </c>
    </row>
    <row r="56" spans="2:3" x14ac:dyDescent="0.2">
      <c r="B56" s="1" t="s">
        <v>96</v>
      </c>
      <c r="C56" s="1" t="s">
        <v>146</v>
      </c>
    </row>
    <row r="57" spans="2:3" x14ac:dyDescent="0.2">
      <c r="B57" s="1" t="s">
        <v>97</v>
      </c>
      <c r="C57" s="1" t="s">
        <v>146</v>
      </c>
    </row>
    <row r="58" spans="2:3" x14ac:dyDescent="0.2">
      <c r="B58" s="1" t="s">
        <v>98</v>
      </c>
      <c r="C58" s="1" t="s">
        <v>146</v>
      </c>
    </row>
    <row r="59" spans="2:3" x14ac:dyDescent="0.2">
      <c r="B59" s="1" t="s">
        <v>99</v>
      </c>
      <c r="C59" s="1" t="s">
        <v>146</v>
      </c>
    </row>
    <row r="60" spans="2:3" x14ac:dyDescent="0.2">
      <c r="B60" s="1" t="s">
        <v>100</v>
      </c>
      <c r="C60" s="1" t="s">
        <v>146</v>
      </c>
    </row>
    <row r="61" spans="2:3" x14ac:dyDescent="0.2">
      <c r="B61" s="1" t="s">
        <v>101</v>
      </c>
      <c r="C61" s="1" t="s">
        <v>146</v>
      </c>
    </row>
    <row r="62" spans="2:3" x14ac:dyDescent="0.2">
      <c r="B62" s="1" t="s">
        <v>102</v>
      </c>
      <c r="C62" s="1" t="s">
        <v>146</v>
      </c>
    </row>
    <row r="63" spans="2:3" x14ac:dyDescent="0.2">
      <c r="B63" s="1" t="s">
        <v>103</v>
      </c>
      <c r="C63" s="1" t="s">
        <v>146</v>
      </c>
    </row>
    <row r="64" spans="2:3" x14ac:dyDescent="0.2">
      <c r="B64" s="1" t="s">
        <v>138</v>
      </c>
      <c r="C64" s="1" t="s">
        <v>146</v>
      </c>
    </row>
    <row r="65" spans="2:3" x14ac:dyDescent="0.2">
      <c r="B65" s="1" t="s">
        <v>104</v>
      </c>
      <c r="C65" s="1" t="s">
        <v>146</v>
      </c>
    </row>
    <row r="66" spans="2:3" x14ac:dyDescent="0.2">
      <c r="B66" s="1" t="s">
        <v>105</v>
      </c>
      <c r="C66" s="1" t="s">
        <v>146</v>
      </c>
    </row>
    <row r="67" spans="2:3" x14ac:dyDescent="0.2">
      <c r="B67" s="1" t="s">
        <v>106</v>
      </c>
      <c r="C67" s="1" t="s">
        <v>146</v>
      </c>
    </row>
    <row r="68" spans="2:3" x14ac:dyDescent="0.2">
      <c r="B68" s="1" t="s">
        <v>107</v>
      </c>
      <c r="C68" s="1" t="s">
        <v>146</v>
      </c>
    </row>
    <row r="69" spans="2:3" x14ac:dyDescent="0.2">
      <c r="B69" s="1" t="s">
        <v>108</v>
      </c>
      <c r="C69" s="1" t="s">
        <v>146</v>
      </c>
    </row>
    <row r="70" spans="2:3" x14ac:dyDescent="0.2">
      <c r="B70" s="1" t="s">
        <v>109</v>
      </c>
      <c r="C70" s="1" t="s">
        <v>146</v>
      </c>
    </row>
    <row r="71" spans="2:3" x14ac:dyDescent="0.2">
      <c r="B71" s="1" t="s">
        <v>110</v>
      </c>
      <c r="C71" s="1" t="s">
        <v>146</v>
      </c>
    </row>
    <row r="72" spans="2:3" x14ac:dyDescent="0.2">
      <c r="B72" s="1" t="s">
        <v>111</v>
      </c>
      <c r="C72" s="1" t="s">
        <v>146</v>
      </c>
    </row>
    <row r="73" spans="2:3" x14ac:dyDescent="0.2">
      <c r="B73" s="1" t="s">
        <v>112</v>
      </c>
      <c r="C73" s="1" t="s">
        <v>146</v>
      </c>
    </row>
    <row r="74" spans="2:3" x14ac:dyDescent="0.2">
      <c r="B74" s="1" t="s">
        <v>113</v>
      </c>
      <c r="C74" s="1" t="s">
        <v>146</v>
      </c>
    </row>
    <row r="75" spans="2:3" x14ac:dyDescent="0.2">
      <c r="B75" s="1" t="s">
        <v>114</v>
      </c>
      <c r="C75" s="1" t="s">
        <v>146</v>
      </c>
    </row>
    <row r="76" spans="2:3" x14ac:dyDescent="0.2">
      <c r="B76" s="1" t="s">
        <v>115</v>
      </c>
      <c r="C76" s="1" t="s">
        <v>146</v>
      </c>
    </row>
    <row r="77" spans="2:3" x14ac:dyDescent="0.2">
      <c r="B77" s="1" t="s">
        <v>116</v>
      </c>
      <c r="C77" s="1" t="s">
        <v>146</v>
      </c>
    </row>
    <row r="78" spans="2:3" x14ac:dyDescent="0.2">
      <c r="B78" s="1" t="s">
        <v>117</v>
      </c>
      <c r="C78" s="1" t="s">
        <v>146</v>
      </c>
    </row>
    <row r="79" spans="2:3" x14ac:dyDescent="0.2">
      <c r="B79" s="1" t="s">
        <v>118</v>
      </c>
      <c r="C79" s="1" t="s">
        <v>146</v>
      </c>
    </row>
    <row r="80" spans="2:3" x14ac:dyDescent="0.2">
      <c r="B80" s="20" t="s">
        <v>119</v>
      </c>
      <c r="C80" s="1" t="s">
        <v>146</v>
      </c>
    </row>
    <row r="81" spans="2:3" x14ac:dyDescent="0.2">
      <c r="B81" s="20" t="s">
        <v>120</v>
      </c>
      <c r="C81" s="1" t="s">
        <v>146</v>
      </c>
    </row>
    <row r="82" spans="2:3" x14ac:dyDescent="0.2">
      <c r="B82" s="20" t="s">
        <v>121</v>
      </c>
      <c r="C82" s="1" t="s">
        <v>146</v>
      </c>
    </row>
    <row r="83" spans="2:3" x14ac:dyDescent="0.2">
      <c r="B83" s="20" t="s">
        <v>139</v>
      </c>
      <c r="C83" s="1" t="s">
        <v>146</v>
      </c>
    </row>
    <row r="84" spans="2:3" x14ac:dyDescent="0.2">
      <c r="B84" s="20" t="s">
        <v>122</v>
      </c>
      <c r="C84" s="1" t="s">
        <v>146</v>
      </c>
    </row>
    <row r="85" spans="2:3" x14ac:dyDescent="0.2">
      <c r="B85" s="20" t="s">
        <v>123</v>
      </c>
      <c r="C85" s="1" t="s">
        <v>146</v>
      </c>
    </row>
    <row r="86" spans="2:3" x14ac:dyDescent="0.2">
      <c r="B86" s="20" t="s">
        <v>124</v>
      </c>
      <c r="C86" s="1" t="s">
        <v>146</v>
      </c>
    </row>
    <row r="87" spans="2:3" x14ac:dyDescent="0.2">
      <c r="B87" s="20" t="s">
        <v>125</v>
      </c>
      <c r="C87" s="1" t="s">
        <v>146</v>
      </c>
    </row>
    <row r="88" spans="2:3" x14ac:dyDescent="0.2">
      <c r="B88" s="20" t="s">
        <v>126</v>
      </c>
      <c r="C88" s="1" t="s">
        <v>146</v>
      </c>
    </row>
    <row r="89" spans="2:3" x14ac:dyDescent="0.2">
      <c r="B89" s="20" t="s">
        <v>127</v>
      </c>
      <c r="C89" s="1" t="s">
        <v>146</v>
      </c>
    </row>
    <row r="90" spans="2:3" x14ac:dyDescent="0.2">
      <c r="B90" s="20" t="s">
        <v>128</v>
      </c>
      <c r="C90" s="1" t="s">
        <v>146</v>
      </c>
    </row>
    <row r="91" spans="2:3" x14ac:dyDescent="0.2">
      <c r="B91" s="20" t="s">
        <v>129</v>
      </c>
      <c r="C91" s="1" t="s">
        <v>146</v>
      </c>
    </row>
  </sheetData>
  <dataValidations count="1">
    <dataValidation allowBlank="1" showErrorMessage="1" showInputMessage="1" sqref="F3:F18" type="list" xr:uid="{00000000-0002-0000-0400-000000000000}">
      <formula1>$B$3:$B$91</formula1>
    </dataValidation>
  </dataValidations>
  <pageMargins bottom="0.75" footer="0.3" header="0.3" left="0.7" right="0.7" top="0.75"/>
  <pageSetup orientation="portrait" paperSize="9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showGridLines="0" topLeftCell="A2" workbookViewId="0">
      <selection activeCell="J23" sqref="J23"/>
    </sheetView>
  </sheetViews>
  <sheetFormatPr baseColWidth="10" defaultColWidth="8.83203125" defaultRowHeight="15" x14ac:dyDescent="0.2"/>
  <cols>
    <col customWidth="1" max="1" min="1" width="22.33203125"/>
    <col customWidth="1" max="2" min="2" width="14"/>
  </cols>
  <sheetData>
    <row r="1" spans="1:2" x14ac:dyDescent="0.2">
      <c r="A1" t="s">
        <v>239</v>
      </c>
      <c r="B1" t="s">
        <v>240</v>
      </c>
    </row>
    <row r="2" spans="1:2" x14ac:dyDescent="0.2">
      <c r="A2" s="58" t="s">
        <v>130</v>
      </c>
      <c r="B2" s="58" t="s">
        <v>256</v>
      </c>
    </row>
    <row r="3" spans="1:2" x14ac:dyDescent="0.2">
      <c r="A3" t="s">
        <v>202</v>
      </c>
      <c r="B3" t="s">
        <v>241</v>
      </c>
    </row>
    <row r="4" spans="1:2" x14ac:dyDescent="0.2">
      <c r="A4" t="s">
        <v>3</v>
      </c>
      <c r="B4" t="s">
        <v>3</v>
      </c>
    </row>
    <row r="5" spans="1:2" x14ac:dyDescent="0.2">
      <c r="A5" t="s">
        <v>2</v>
      </c>
      <c r="B5" t="s">
        <v>2</v>
      </c>
    </row>
    <row r="6" spans="1:2" x14ac:dyDescent="0.2">
      <c r="A6" t="s">
        <v>208</v>
      </c>
      <c r="B6" t="s">
        <v>242</v>
      </c>
    </row>
    <row r="7" spans="1:2" x14ac:dyDescent="0.2">
      <c r="A7" t="s">
        <v>210</v>
      </c>
      <c r="B7" t="s">
        <v>243</v>
      </c>
    </row>
    <row r="8" spans="1:2" x14ac:dyDescent="0.2">
      <c r="A8" t="s">
        <v>211</v>
      </c>
      <c r="B8" t="s">
        <v>244</v>
      </c>
    </row>
    <row r="9" spans="1:2" x14ac:dyDescent="0.2">
      <c r="A9" t="s">
        <v>222</v>
      </c>
      <c r="B9" t="s">
        <v>245</v>
      </c>
    </row>
    <row r="10" spans="1:2" x14ac:dyDescent="0.2">
      <c r="A10" t="s">
        <v>197</v>
      </c>
      <c r="B10" t="s">
        <v>246</v>
      </c>
    </row>
    <row r="11" spans="1:2" x14ac:dyDescent="0.2">
      <c r="A11" t="s">
        <v>232</v>
      </c>
      <c r="B11" t="s">
        <v>247</v>
      </c>
    </row>
    <row r="12" spans="1:2" x14ac:dyDescent="0.2">
      <c r="A12" t="s">
        <v>234</v>
      </c>
      <c r="B12" t="s">
        <v>248</v>
      </c>
    </row>
    <row r="13" spans="1:2" x14ac:dyDescent="0.2">
      <c r="A13" t="s">
        <v>31</v>
      </c>
      <c r="B13" t="s">
        <v>31</v>
      </c>
    </row>
    <row r="14" spans="1:2" x14ac:dyDescent="0.2">
      <c r="A14" t="s">
        <v>229</v>
      </c>
      <c r="B14" t="s">
        <v>249</v>
      </c>
    </row>
    <row r="15" spans="1:2" x14ac:dyDescent="0.2">
      <c r="A15" t="s">
        <v>216</v>
      </c>
      <c r="B15" t="s">
        <v>216</v>
      </c>
    </row>
    <row r="16" spans="1:2" x14ac:dyDescent="0.2">
      <c r="A16" t="s">
        <v>217</v>
      </c>
      <c r="B16" t="s">
        <v>217</v>
      </c>
    </row>
    <row r="17" spans="1:2" x14ac:dyDescent="0.2">
      <c r="A17" t="s">
        <v>32</v>
      </c>
      <c r="B17" t="s">
        <v>32</v>
      </c>
    </row>
    <row r="18" spans="1:2" x14ac:dyDescent="0.2">
      <c r="A18" t="s">
        <v>230</v>
      </c>
      <c r="B18" t="s">
        <v>250</v>
      </c>
    </row>
    <row r="19" spans="1:2" x14ac:dyDescent="0.2">
      <c r="A19" t="s">
        <v>33</v>
      </c>
      <c r="B19" t="s">
        <v>33</v>
      </c>
    </row>
    <row r="20" spans="1:2" x14ac:dyDescent="0.2">
      <c r="A20" t="s">
        <v>231</v>
      </c>
      <c r="B20" t="s">
        <v>251</v>
      </c>
    </row>
    <row r="21" spans="1:2" x14ac:dyDescent="0.2">
      <c r="A21" t="s">
        <v>218</v>
      </c>
      <c r="B21" t="s">
        <v>252</v>
      </c>
    </row>
    <row r="22" spans="1:2" x14ac:dyDescent="0.2">
      <c r="A22" t="s">
        <v>219</v>
      </c>
      <c r="B22" t="s">
        <v>253</v>
      </c>
    </row>
    <row r="23" spans="1:2" x14ac:dyDescent="0.2">
      <c r="A23" t="s">
        <v>238</v>
      </c>
      <c r="B23" t="s">
        <v>254</v>
      </c>
    </row>
    <row r="24" spans="1:2" x14ac:dyDescent="0.2">
      <c r="A24" t="s">
        <v>236</v>
      </c>
      <c r="B24" t="s">
        <v>255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8168889431442"/>
  </sheetPr>
  <dimension ref="B1:AE118"/>
  <sheetViews>
    <sheetView showGridLines="0" workbookViewId="0" zoomScale="85" zoomScaleNormal="85">
      <pane activePane="bottomLeft" state="frozen" topLeftCell="A4" ySplit="3"/>
      <selection activeCell="H6" pane="bottomLeft" sqref="H6"/>
    </sheetView>
  </sheetViews>
  <sheetFormatPr baseColWidth="10" defaultColWidth="8.83203125" defaultRowHeight="15" x14ac:dyDescent="0.2"/>
  <cols>
    <col customWidth="1" max="1" min="1" width="3"/>
    <col bestFit="1" customWidth="1" max="2" min="2" width="21.6640625"/>
    <col customWidth="1" max="3" min="3" width="16.33203125"/>
    <col bestFit="1" customWidth="1" max="4" min="4" width="22.5"/>
    <col customWidth="1" max="5" min="5" width="18.5"/>
    <col customWidth="1" max="7" min="6" width="5"/>
    <col customWidth="1" max="8" min="8" width="25.33203125"/>
    <col customWidth="1" max="9" min="9" width="21.5"/>
    <col customWidth="1" max="10" min="10" width="10.33203125"/>
    <col customWidth="1" max="11" min="11" width="11.6640625"/>
    <col customWidth="1" max="12" min="12" width="12.5"/>
    <col customWidth="1" max="13" min="13" width="18.6640625"/>
    <col customWidth="1" max="14" min="14" width="16.5"/>
    <col customWidth="1" max="15" min="15" width="12.33203125"/>
    <col customWidth="1" max="16" min="16" width="14.1640625"/>
    <col customWidth="1" max="17" min="17" width="12.1640625"/>
    <col customWidth="1" max="18" min="18" width="16.5"/>
    <col customWidth="1" max="19" min="19" width="10.33203125"/>
    <col customWidth="1" max="20" min="20" width="14.1640625"/>
    <col customWidth="1" max="21" min="21" width="10.33203125"/>
    <col customWidth="1" max="22" min="22" width="7.33203125"/>
    <col customWidth="1" max="23" min="23" width="8"/>
    <col customWidth="1" max="24" min="24" width="8.33203125"/>
    <col customWidth="1" max="25" min="25" width="14.5"/>
    <col customWidth="1" max="26" min="26" width="16.1640625"/>
    <col customWidth="1" max="27" min="27" width="12.6640625"/>
    <col customWidth="1" max="28" min="28" width="22.33203125"/>
    <col customWidth="1" max="29" min="29" width="13.1640625"/>
    <col bestFit="1" customWidth="1" max="30" min="30" width="16.83203125"/>
    <col customWidth="1" max="31" min="31" width="16.5"/>
    <col customWidth="1" max="32" min="32" width="13"/>
    <col customWidth="1" max="33" min="33" width="14.6640625"/>
    <col customWidth="1" max="34" min="34" width="17.33203125"/>
    <col customWidth="1" max="35" min="35" width="14.6640625"/>
    <col customWidth="1" max="36" min="36" width="18.5"/>
    <col customWidth="1" max="37" min="37" width="16.83203125"/>
    <col customWidth="1" max="38" min="38" width="8.5"/>
    <col customWidth="1" max="39" min="39" width="14.6640625"/>
    <col customWidth="1" max="41" min="40" width="16.83203125"/>
    <col customWidth="1" max="46" min="42" width="15"/>
    <col customWidth="1" max="47" min="47" width="16.83203125"/>
    <col customWidth="1" max="48" min="48" width="14.83203125"/>
    <col customWidth="1" max="51" min="49" width="12.83203125"/>
    <col customWidth="1" max="52" min="52" width="13"/>
    <col customWidth="1" max="53" min="53" width="14.6640625"/>
    <col customWidth="1" max="54" min="54" width="16.83203125"/>
    <col customWidth="1" max="55" min="55" width="15.5"/>
    <col customWidth="1" max="56" min="56" width="17.33203125"/>
    <col customWidth="1" max="57" min="57" width="18.5"/>
    <col customWidth="1" max="58" min="58" width="18.1640625"/>
    <col customWidth="1" max="59" min="59" width="12"/>
    <col bestFit="1" customWidth="1" max="65" min="60" width="16.83203125"/>
    <col bestFit="1" customWidth="1" max="66" min="66" width="19.6640625"/>
    <col bestFit="1" customWidth="1" max="73" min="67" width="16.83203125"/>
    <col bestFit="1" customWidth="1" max="74" min="74" width="17.6640625"/>
    <col bestFit="1" customWidth="1" max="78" min="75" width="18.5"/>
    <col bestFit="1" customWidth="1" max="79" min="79" width="18.1640625"/>
    <col bestFit="1" customWidth="1" max="80" min="80" width="21.33203125"/>
    <col bestFit="1" customWidth="1" max="81" min="81" width="12"/>
  </cols>
  <sheetData>
    <row customHeight="1" ht="30.5" r="1" spans="2:18" x14ac:dyDescent="0.2">
      <c r="E1" s="61" t="s">
        <v>257</v>
      </c>
      <c r="F1" s="32"/>
      <c r="G1" s="32"/>
      <c r="H1" s="32"/>
    </row>
    <row customFormat="1" r="2" s="19" spans="2:18" x14ac:dyDescent="0.2">
      <c r="B2" s="18" t="s">
        <v>141</v>
      </c>
      <c r="J2" s="18" t="s">
        <v>258</v>
      </c>
      <c r="N2"/>
      <c r="P2" s="18" t="s">
        <v>259</v>
      </c>
    </row>
    <row r="3" spans="2:18" x14ac:dyDescent="0.2">
      <c r="B3" s="31" t="s">
        <v>10</v>
      </c>
      <c r="C3" s="59" t="s">
        <v>256</v>
      </c>
      <c r="D3" s="31" t="s">
        <v>163</v>
      </c>
      <c r="E3" s="31" t="s">
        <v>41</v>
      </c>
      <c r="H3" s="25" t="s">
        <v>163</v>
      </c>
      <c r="J3" s="26" t="s">
        <v>29</v>
      </c>
      <c r="K3" s="26" t="s">
        <v>4</v>
      </c>
      <c r="L3" s="26" t="s">
        <v>205</v>
      </c>
      <c r="P3" s="26" t="s">
        <v>160</v>
      </c>
      <c r="R3" s="26" t="s">
        <v>11</v>
      </c>
    </row>
    <row r="4" spans="2:18" x14ac:dyDescent="0.2">
      <c r="B4" s="30" t="s">
        <v>202</v>
      </c>
      <c r="C4" s="30" t="s">
        <v>241</v>
      </c>
      <c r="D4" s="30" t="s">
        <v>29</v>
      </c>
      <c r="E4" s="20" t="s">
        <v>1</v>
      </c>
      <c r="H4" s="30" t="s">
        <v>29</v>
      </c>
      <c r="J4" s="30" t="s">
        <v>241</v>
      </c>
      <c r="K4" s="30" t="s">
        <v>243</v>
      </c>
      <c r="L4" s="30" t="s">
        <v>247</v>
      </c>
      <c r="P4" s="52" t="s">
        <v>48</v>
      </c>
      <c r="R4" s="52" t="s">
        <v>194</v>
      </c>
    </row>
    <row r="5" spans="2:18" x14ac:dyDescent="0.2">
      <c r="B5" s="30" t="s">
        <v>3</v>
      </c>
      <c r="C5" s="30" t="s">
        <v>3</v>
      </c>
      <c r="D5" s="30" t="s">
        <v>29</v>
      </c>
      <c r="E5" s="20" t="s">
        <v>1</v>
      </c>
      <c r="H5" s="30" t="s">
        <v>4</v>
      </c>
      <c r="J5" s="30" t="s">
        <v>3</v>
      </c>
      <c r="K5" s="30" t="s">
        <v>244</v>
      </c>
      <c r="L5" s="30" t="s">
        <v>248</v>
      </c>
      <c r="P5" s="52" t="s">
        <v>29</v>
      </c>
      <c r="R5" s="52" t="s">
        <v>193</v>
      </c>
    </row>
    <row r="6" spans="2:18" x14ac:dyDescent="0.2">
      <c r="B6" s="30" t="s">
        <v>220</v>
      </c>
      <c r="C6" s="30" t="s">
        <v>260</v>
      </c>
      <c r="D6" s="30" t="s">
        <v>29</v>
      </c>
      <c r="E6" s="20" t="s">
        <v>1</v>
      </c>
      <c r="H6" s="30" t="s">
        <v>205</v>
      </c>
      <c r="J6" s="30" t="s">
        <v>260</v>
      </c>
      <c r="K6" s="30" t="s">
        <v>2</v>
      </c>
      <c r="L6" s="30" t="s">
        <v>254</v>
      </c>
    </row>
    <row r="7" spans="2:18" x14ac:dyDescent="0.2">
      <c r="B7" s="30" t="s">
        <v>208</v>
      </c>
      <c r="C7" s="30" t="s">
        <v>242</v>
      </c>
      <c r="D7" s="30" t="s">
        <v>29</v>
      </c>
      <c r="E7" s="20" t="s">
        <v>1</v>
      </c>
      <c r="J7" s="30" t="s">
        <v>242</v>
      </c>
      <c r="K7" s="30" t="s">
        <v>246</v>
      </c>
      <c r="L7" s="30" t="s">
        <v>255</v>
      </c>
    </row>
    <row r="8" spans="2:18" x14ac:dyDescent="0.2">
      <c r="B8" s="30" t="s">
        <v>210</v>
      </c>
      <c r="C8" s="30" t="s">
        <v>243</v>
      </c>
      <c r="D8" s="30" t="s">
        <v>4</v>
      </c>
      <c r="E8" s="20" t="s">
        <v>1</v>
      </c>
      <c r="F8" s="19"/>
      <c r="G8" s="19"/>
      <c r="H8" s="19"/>
      <c r="I8" s="19"/>
      <c r="K8" s="30" t="s">
        <v>245</v>
      </c>
      <c r="M8" s="19"/>
      <c r="N8" s="19"/>
    </row>
    <row r="9" spans="2:18" x14ac:dyDescent="0.2">
      <c r="B9" s="30" t="s">
        <v>203</v>
      </c>
      <c r="C9" s="30" t="s">
        <v>244</v>
      </c>
      <c r="D9" s="30" t="s">
        <v>4</v>
      </c>
      <c r="E9" s="20" t="s">
        <v>1</v>
      </c>
      <c r="K9" s="30" t="s">
        <v>31</v>
      </c>
    </row>
    <row r="10" spans="2:18" x14ac:dyDescent="0.2">
      <c r="B10" s="30" t="s">
        <v>223</v>
      </c>
      <c r="C10" s="30" t="s">
        <v>245</v>
      </c>
      <c r="D10" s="30" t="s">
        <v>4</v>
      </c>
      <c r="E10" s="20" t="s">
        <v>1</v>
      </c>
      <c r="K10" s="30" t="s">
        <v>249</v>
      </c>
    </row>
    <row r="11" spans="2:18" x14ac:dyDescent="0.2">
      <c r="B11" s="30" t="s">
        <v>196</v>
      </c>
      <c r="C11" s="30" t="s">
        <v>2</v>
      </c>
      <c r="D11" s="30" t="s">
        <v>4</v>
      </c>
      <c r="E11" s="20" t="s">
        <v>1</v>
      </c>
      <c r="K11" s="30" t="s">
        <v>216</v>
      </c>
    </row>
    <row r="12" spans="2:18" x14ac:dyDescent="0.2">
      <c r="B12" s="30" t="s">
        <v>221</v>
      </c>
      <c r="C12" s="30" t="s">
        <v>2</v>
      </c>
      <c r="D12" s="30" t="s">
        <v>4</v>
      </c>
      <c r="E12" s="20" t="s">
        <v>1</v>
      </c>
      <c r="K12" s="30" t="s">
        <v>217</v>
      </c>
    </row>
    <row r="13" spans="2:18" x14ac:dyDescent="0.2">
      <c r="B13" s="30" t="s">
        <v>212</v>
      </c>
      <c r="C13" s="30" t="s">
        <v>2</v>
      </c>
      <c r="D13" s="30" t="s">
        <v>4</v>
      </c>
      <c r="E13" s="20" t="s">
        <v>1</v>
      </c>
      <c r="K13" s="30" t="s">
        <v>32</v>
      </c>
    </row>
    <row r="14" spans="2:18" x14ac:dyDescent="0.2">
      <c r="B14" s="30" t="s">
        <v>213</v>
      </c>
      <c r="C14" s="30" t="s">
        <v>2</v>
      </c>
      <c r="D14" s="30" t="s">
        <v>4</v>
      </c>
      <c r="E14" s="20" t="s">
        <v>1</v>
      </c>
      <c r="K14" s="30" t="s">
        <v>250</v>
      </c>
    </row>
    <row r="15" spans="2:18" x14ac:dyDescent="0.2">
      <c r="B15" s="30" t="s">
        <v>199</v>
      </c>
      <c r="C15" s="30" t="s">
        <v>2</v>
      </c>
      <c r="D15" s="30" t="s">
        <v>4</v>
      </c>
      <c r="E15" s="20" t="s">
        <v>1</v>
      </c>
      <c r="K15" s="30" t="s">
        <v>33</v>
      </c>
    </row>
    <row r="16" spans="2:18" x14ac:dyDescent="0.2">
      <c r="B16" s="30" t="s">
        <v>214</v>
      </c>
      <c r="C16" s="30" t="s">
        <v>2</v>
      </c>
      <c r="D16" s="30" t="s">
        <v>4</v>
      </c>
      <c r="E16" s="20" t="s">
        <v>1</v>
      </c>
      <c r="K16" s="30" t="s">
        <v>251</v>
      </c>
    </row>
    <row r="17" spans="2:31" x14ac:dyDescent="0.2">
      <c r="B17" s="30" t="s">
        <v>215</v>
      </c>
      <c r="C17" s="30" t="s">
        <v>2</v>
      </c>
      <c r="D17" s="30" t="s">
        <v>4</v>
      </c>
      <c r="E17" s="20" t="s">
        <v>1</v>
      </c>
      <c r="K17" s="30" t="s">
        <v>252</v>
      </c>
    </row>
    <row r="18" spans="2:31" x14ac:dyDescent="0.2">
      <c r="B18" s="30" t="s">
        <v>224</v>
      </c>
      <c r="C18" s="30" t="s">
        <v>246</v>
      </c>
      <c r="D18" s="30" t="s">
        <v>4</v>
      </c>
      <c r="E18" s="20" t="s">
        <v>1</v>
      </c>
      <c r="K18" s="30" t="s">
        <v>253</v>
      </c>
    </row>
    <row r="19" spans="2:31" x14ac:dyDescent="0.2">
      <c r="B19" s="30" t="s">
        <v>225</v>
      </c>
      <c r="C19" s="30" t="s">
        <v>246</v>
      </c>
      <c r="D19" s="30" t="s">
        <v>4</v>
      </c>
      <c r="E19" s="20" t="s">
        <v>1</v>
      </c>
    </row>
    <row r="20" spans="2:31" x14ac:dyDescent="0.2">
      <c r="B20" s="30" t="s">
        <v>226</v>
      </c>
      <c r="C20" s="30" t="s">
        <v>246</v>
      </c>
      <c r="D20" s="30" t="s">
        <v>4</v>
      </c>
      <c r="E20" s="20" t="s">
        <v>1</v>
      </c>
      <c r="I20" s="18" t="s">
        <v>261</v>
      </c>
    </row>
    <row r="21" spans="2:31" x14ac:dyDescent="0.2">
      <c r="B21" s="30" t="s">
        <v>227</v>
      </c>
      <c r="C21" s="30" t="s">
        <v>246</v>
      </c>
      <c r="D21" s="30" t="s">
        <v>4</v>
      </c>
      <c r="E21" s="20" t="s">
        <v>1</v>
      </c>
      <c r="I21" s="62" t="s">
        <v>241</v>
      </c>
      <c r="J21" s="62" t="s">
        <v>3</v>
      </c>
      <c r="K21" s="62" t="s">
        <v>260</v>
      </c>
      <c r="L21" s="62" t="s">
        <v>242</v>
      </c>
      <c r="M21" s="62" t="s">
        <v>243</v>
      </c>
      <c r="N21" s="62" t="s">
        <v>244</v>
      </c>
      <c r="O21" s="62" t="s">
        <v>2</v>
      </c>
      <c r="P21" s="62" t="s">
        <v>246</v>
      </c>
      <c r="Q21" s="62" t="s">
        <v>245</v>
      </c>
      <c r="R21" s="62" t="s">
        <v>31</v>
      </c>
      <c r="S21" s="62" t="s">
        <v>249</v>
      </c>
      <c r="T21" s="62" t="s">
        <v>216</v>
      </c>
      <c r="U21" s="62" t="s">
        <v>217</v>
      </c>
      <c r="V21" s="62" t="s">
        <v>32</v>
      </c>
      <c r="W21" s="62" t="s">
        <v>250</v>
      </c>
      <c r="X21" s="62" t="s">
        <v>33</v>
      </c>
      <c r="Y21" s="62" t="s">
        <v>251</v>
      </c>
      <c r="Z21" s="62" t="s">
        <v>252</v>
      </c>
      <c r="AA21" s="62" t="s">
        <v>253</v>
      </c>
      <c r="AB21" s="62" t="s">
        <v>247</v>
      </c>
      <c r="AC21" s="62" t="s">
        <v>248</v>
      </c>
      <c r="AD21" s="62" t="s">
        <v>254</v>
      </c>
      <c r="AE21" s="62" t="s">
        <v>255</v>
      </c>
    </row>
    <row r="22" spans="2:31" x14ac:dyDescent="0.2">
      <c r="B22" s="30" t="s">
        <v>223</v>
      </c>
      <c r="C22" s="30" t="s">
        <v>246</v>
      </c>
      <c r="D22" s="30" t="s">
        <v>4</v>
      </c>
      <c r="E22" s="20" t="s">
        <v>1</v>
      </c>
      <c r="I22" s="54" t="s">
        <v>202</v>
      </c>
      <c r="J22" s="30" t="s">
        <v>3</v>
      </c>
      <c r="K22" s="30" t="s">
        <v>220</v>
      </c>
      <c r="L22" s="30" t="s">
        <v>208</v>
      </c>
      <c r="M22" s="30" t="s">
        <v>210</v>
      </c>
      <c r="N22" s="30" t="s">
        <v>203</v>
      </c>
      <c r="O22" s="30" t="s">
        <v>196</v>
      </c>
      <c r="P22" s="30" t="s">
        <v>224</v>
      </c>
      <c r="Q22" s="30" t="s">
        <v>223</v>
      </c>
      <c r="R22" s="30" t="s">
        <v>31</v>
      </c>
      <c r="S22" s="30" t="s">
        <v>223</v>
      </c>
      <c r="T22" s="30" t="s">
        <v>216</v>
      </c>
      <c r="U22" s="30" t="s">
        <v>217</v>
      </c>
      <c r="V22" s="30" t="s">
        <v>32</v>
      </c>
      <c r="W22" s="30" t="s">
        <v>223</v>
      </c>
      <c r="X22" s="30" t="s">
        <v>196</v>
      </c>
      <c r="Y22" s="30" t="s">
        <v>223</v>
      </c>
      <c r="Z22" s="30" t="s">
        <v>224</v>
      </c>
      <c r="AA22" s="30" t="s">
        <v>224</v>
      </c>
      <c r="AB22" s="30" t="s">
        <v>233</v>
      </c>
      <c r="AC22" s="30" t="s">
        <v>235</v>
      </c>
      <c r="AD22" s="30" t="s">
        <v>238</v>
      </c>
      <c r="AE22" s="30" t="s">
        <v>236</v>
      </c>
    </row>
    <row r="23" spans="2:31" x14ac:dyDescent="0.2">
      <c r="B23" s="30" t="s">
        <v>228</v>
      </c>
      <c r="C23" s="30" t="s">
        <v>246</v>
      </c>
      <c r="D23" s="30" t="s">
        <v>4</v>
      </c>
      <c r="E23" s="20" t="s">
        <v>1</v>
      </c>
      <c r="O23" s="30" t="s">
        <v>221</v>
      </c>
      <c r="P23" s="30" t="s">
        <v>225</v>
      </c>
      <c r="X23" s="30" t="s">
        <v>33</v>
      </c>
      <c r="Z23" s="30" t="s">
        <v>225</v>
      </c>
      <c r="AA23" s="30" t="s">
        <v>225</v>
      </c>
      <c r="AC23" s="30" t="s">
        <v>236</v>
      </c>
      <c r="AD23" s="30" t="s">
        <v>236</v>
      </c>
    </row>
    <row r="24" spans="2:31" x14ac:dyDescent="0.2">
      <c r="B24" s="30" t="s">
        <v>198</v>
      </c>
      <c r="C24" s="30" t="s">
        <v>246</v>
      </c>
      <c r="D24" s="30" t="s">
        <v>4</v>
      </c>
      <c r="E24" s="20" t="s">
        <v>1</v>
      </c>
      <c r="O24" s="30" t="s">
        <v>212</v>
      </c>
      <c r="P24" s="30" t="s">
        <v>226</v>
      </c>
      <c r="Z24" s="30" t="s">
        <v>226</v>
      </c>
      <c r="AA24" s="30" t="s">
        <v>226</v>
      </c>
      <c r="AC24" s="30" t="s">
        <v>237</v>
      </c>
    </row>
    <row r="25" spans="2:31" x14ac:dyDescent="0.2">
      <c r="B25" s="30" t="s">
        <v>233</v>
      </c>
      <c r="C25" s="30" t="s">
        <v>247</v>
      </c>
      <c r="D25" s="30" t="s">
        <v>205</v>
      </c>
      <c r="E25" s="20" t="s">
        <v>1</v>
      </c>
      <c r="O25" s="30" t="s">
        <v>213</v>
      </c>
      <c r="P25" s="30" t="s">
        <v>227</v>
      </c>
      <c r="Z25" s="30" t="s">
        <v>227</v>
      </c>
      <c r="AA25" s="30" t="s">
        <v>227</v>
      </c>
    </row>
    <row r="26" spans="2:31" x14ac:dyDescent="0.2">
      <c r="B26" s="30" t="s">
        <v>235</v>
      </c>
      <c r="C26" s="30" t="s">
        <v>248</v>
      </c>
      <c r="D26" s="30" t="s">
        <v>205</v>
      </c>
      <c r="E26" s="20" t="s">
        <v>1</v>
      </c>
      <c r="O26" s="30" t="s">
        <v>199</v>
      </c>
      <c r="P26" s="30" t="s">
        <v>223</v>
      </c>
      <c r="Z26" s="30" t="s">
        <v>223</v>
      </c>
      <c r="AA26" s="30" t="s">
        <v>223</v>
      </c>
    </row>
    <row r="27" spans="2:31" x14ac:dyDescent="0.2">
      <c r="B27" s="30" t="s">
        <v>236</v>
      </c>
      <c r="C27" s="30" t="s">
        <v>248</v>
      </c>
      <c r="D27" s="30" t="s">
        <v>205</v>
      </c>
      <c r="E27" s="20" t="s">
        <v>1</v>
      </c>
      <c r="O27" s="30" t="s">
        <v>214</v>
      </c>
      <c r="P27" s="30" t="s">
        <v>228</v>
      </c>
      <c r="Z27" s="30" t="s">
        <v>228</v>
      </c>
      <c r="AA27" s="30" t="s">
        <v>228</v>
      </c>
    </row>
    <row r="28" spans="2:31" x14ac:dyDescent="0.2">
      <c r="B28" s="30" t="s">
        <v>237</v>
      </c>
      <c r="C28" s="30" t="s">
        <v>248</v>
      </c>
      <c r="D28" s="30" t="s">
        <v>205</v>
      </c>
      <c r="E28" s="60" t="s">
        <v>1</v>
      </c>
      <c r="O28" s="30" t="s">
        <v>215</v>
      </c>
      <c r="P28" s="30" t="s">
        <v>198</v>
      </c>
      <c r="Z28" s="30" t="s">
        <v>198</v>
      </c>
      <c r="AA28" s="30" t="s">
        <v>198</v>
      </c>
    </row>
    <row r="29" spans="2:31" x14ac:dyDescent="0.2">
      <c r="B29" s="30" t="s">
        <v>31</v>
      </c>
      <c r="C29" s="30" t="s">
        <v>31</v>
      </c>
      <c r="D29" s="30" t="s">
        <v>4</v>
      </c>
      <c r="E29" s="20" t="s">
        <v>30</v>
      </c>
    </row>
    <row r="30" spans="2:31" x14ac:dyDescent="0.2">
      <c r="B30" s="30" t="s">
        <v>223</v>
      </c>
      <c r="C30" s="30" t="s">
        <v>249</v>
      </c>
      <c r="D30" s="30" t="s">
        <v>4</v>
      </c>
      <c r="E30" s="20" t="s">
        <v>30</v>
      </c>
    </row>
    <row r="31" spans="2:31" x14ac:dyDescent="0.2">
      <c r="B31" s="30" t="s">
        <v>216</v>
      </c>
      <c r="C31" s="30" t="s">
        <v>216</v>
      </c>
      <c r="D31" s="30" t="s">
        <v>4</v>
      </c>
      <c r="E31" s="20" t="s">
        <v>30</v>
      </c>
    </row>
    <row r="32" spans="2:31" x14ac:dyDescent="0.2">
      <c r="B32" s="30" t="s">
        <v>217</v>
      </c>
      <c r="C32" s="30" t="s">
        <v>217</v>
      </c>
      <c r="D32" s="30" t="s">
        <v>4</v>
      </c>
      <c r="E32" s="20" t="s">
        <v>30</v>
      </c>
    </row>
    <row r="33" spans="2:8" x14ac:dyDescent="0.2">
      <c r="B33" s="30" t="s">
        <v>32</v>
      </c>
      <c r="C33" s="30" t="s">
        <v>32</v>
      </c>
      <c r="D33" s="30" t="s">
        <v>4</v>
      </c>
      <c r="E33" s="20" t="s">
        <v>30</v>
      </c>
    </row>
    <row r="34" spans="2:8" x14ac:dyDescent="0.2">
      <c r="B34" s="30" t="s">
        <v>223</v>
      </c>
      <c r="C34" s="30" t="s">
        <v>250</v>
      </c>
      <c r="D34" s="30" t="s">
        <v>4</v>
      </c>
      <c r="E34" s="20" t="s">
        <v>30</v>
      </c>
    </row>
    <row r="35" spans="2:8" x14ac:dyDescent="0.2">
      <c r="B35" s="30" t="s">
        <v>196</v>
      </c>
      <c r="C35" s="30" t="s">
        <v>33</v>
      </c>
      <c r="D35" s="30" t="s">
        <v>4</v>
      </c>
      <c r="E35" s="20" t="s">
        <v>30</v>
      </c>
    </row>
    <row r="36" spans="2:8" x14ac:dyDescent="0.2">
      <c r="B36" s="30" t="s">
        <v>33</v>
      </c>
      <c r="C36" s="30" t="s">
        <v>33</v>
      </c>
      <c r="D36" s="30" t="s">
        <v>4</v>
      </c>
      <c r="E36" s="20" t="s">
        <v>30</v>
      </c>
    </row>
    <row r="37" spans="2:8" x14ac:dyDescent="0.2">
      <c r="B37" s="30" t="s">
        <v>223</v>
      </c>
      <c r="C37" s="30" t="s">
        <v>251</v>
      </c>
      <c r="D37" s="57" t="s">
        <v>4</v>
      </c>
      <c r="E37" s="20" t="s">
        <v>30</v>
      </c>
    </row>
    <row r="38" spans="2:8" x14ac:dyDescent="0.2">
      <c r="B38" s="30" t="s">
        <v>224</v>
      </c>
      <c r="C38" s="30" t="s">
        <v>252</v>
      </c>
      <c r="D38" s="57" t="s">
        <v>4</v>
      </c>
      <c r="E38" s="20" t="s">
        <v>30</v>
      </c>
    </row>
    <row r="39" spans="2:8" x14ac:dyDescent="0.2">
      <c r="B39" s="30" t="s">
        <v>225</v>
      </c>
      <c r="C39" s="30" t="s">
        <v>252</v>
      </c>
      <c r="D39" s="57" t="s">
        <v>4</v>
      </c>
      <c r="E39" s="20" t="s">
        <v>30</v>
      </c>
    </row>
    <row r="40" spans="2:8" x14ac:dyDescent="0.2">
      <c r="B40" s="30" t="s">
        <v>226</v>
      </c>
      <c r="C40" s="30" t="s">
        <v>252</v>
      </c>
      <c r="D40" s="57" t="s">
        <v>4</v>
      </c>
      <c r="E40" s="20" t="s">
        <v>30</v>
      </c>
    </row>
    <row r="41" spans="2:8" x14ac:dyDescent="0.2">
      <c r="B41" s="30" t="s">
        <v>227</v>
      </c>
      <c r="C41" s="30" t="s">
        <v>252</v>
      </c>
      <c r="D41" s="57" t="s">
        <v>4</v>
      </c>
      <c r="E41" s="20" t="s">
        <v>30</v>
      </c>
    </row>
    <row r="42" spans="2:8" x14ac:dyDescent="0.2">
      <c r="B42" s="30" t="s">
        <v>223</v>
      </c>
      <c r="C42" s="30" t="s">
        <v>252</v>
      </c>
      <c r="D42" s="57" t="s">
        <v>4</v>
      </c>
      <c r="E42" s="20" t="s">
        <v>30</v>
      </c>
    </row>
    <row r="43" spans="2:8" x14ac:dyDescent="0.2">
      <c r="B43" s="30" t="s">
        <v>228</v>
      </c>
      <c r="C43" s="30" t="s">
        <v>252</v>
      </c>
      <c r="D43" s="57" t="s">
        <v>4</v>
      </c>
      <c r="E43" s="20" t="s">
        <v>30</v>
      </c>
    </row>
    <row r="44" spans="2:8" x14ac:dyDescent="0.2">
      <c r="B44" s="30" t="s">
        <v>198</v>
      </c>
      <c r="C44" s="30" t="s">
        <v>252</v>
      </c>
      <c r="D44" s="57" t="s">
        <v>4</v>
      </c>
      <c r="E44" s="20" t="s">
        <v>30</v>
      </c>
    </row>
    <row r="45" spans="2:8" x14ac:dyDescent="0.2">
      <c r="B45" s="30" t="s">
        <v>224</v>
      </c>
      <c r="C45" s="30" t="s">
        <v>253</v>
      </c>
      <c r="D45" s="57" t="s">
        <v>4</v>
      </c>
      <c r="E45" s="20" t="s">
        <v>30</v>
      </c>
      <c r="H45" s="14" t="s">
        <v>28</v>
      </c>
    </row>
    <row r="46" spans="2:8" x14ac:dyDescent="0.2">
      <c r="B46" s="30" t="s">
        <v>225</v>
      </c>
      <c r="C46" s="30" t="s">
        <v>253</v>
      </c>
      <c r="D46" s="57" t="s">
        <v>4</v>
      </c>
      <c r="E46" s="20" t="s">
        <v>30</v>
      </c>
      <c r="H46" s="13" t="s">
        <v>241</v>
      </c>
    </row>
    <row r="47" spans="2:8" x14ac:dyDescent="0.2">
      <c r="B47" s="30" t="s">
        <v>226</v>
      </c>
      <c r="C47" s="30" t="s">
        <v>253</v>
      </c>
      <c r="D47" s="57" t="s">
        <v>4</v>
      </c>
      <c r="E47" s="20" t="s">
        <v>30</v>
      </c>
      <c r="H47" s="55" t="s">
        <v>202</v>
      </c>
    </row>
    <row r="48" spans="2:8" x14ac:dyDescent="0.2">
      <c r="B48" s="30" t="s">
        <v>227</v>
      </c>
      <c r="C48" s="30" t="s">
        <v>253</v>
      </c>
      <c r="D48" s="57" t="s">
        <v>4</v>
      </c>
      <c r="E48" s="20" t="s">
        <v>30</v>
      </c>
      <c r="H48" s="13" t="s">
        <v>243</v>
      </c>
    </row>
    <row r="49" spans="2:8" x14ac:dyDescent="0.2">
      <c r="B49" s="30" t="s">
        <v>223</v>
      </c>
      <c r="C49" s="30" t="s">
        <v>253</v>
      </c>
      <c r="D49" s="57" t="s">
        <v>4</v>
      </c>
      <c r="E49" s="20" t="s">
        <v>30</v>
      </c>
      <c r="H49" s="55" t="s">
        <v>210</v>
      </c>
    </row>
    <row r="50" spans="2:8" x14ac:dyDescent="0.2">
      <c r="B50" s="30" t="s">
        <v>228</v>
      </c>
      <c r="C50" s="30" t="s">
        <v>253</v>
      </c>
      <c r="D50" s="57" t="s">
        <v>4</v>
      </c>
      <c r="E50" s="20" t="s">
        <v>30</v>
      </c>
      <c r="H50" s="13" t="s">
        <v>31</v>
      </c>
    </row>
    <row r="51" spans="2:8" x14ac:dyDescent="0.2">
      <c r="B51" s="30" t="s">
        <v>198</v>
      </c>
      <c r="C51" s="30" t="s">
        <v>253</v>
      </c>
      <c r="D51" s="57" t="s">
        <v>4</v>
      </c>
      <c r="E51" s="20" t="s">
        <v>30</v>
      </c>
      <c r="H51" s="55" t="s">
        <v>31</v>
      </c>
    </row>
    <row r="52" spans="2:8" x14ac:dyDescent="0.2">
      <c r="B52" s="30" t="s">
        <v>238</v>
      </c>
      <c r="C52" s="30" t="s">
        <v>254</v>
      </c>
      <c r="D52" s="57" t="s">
        <v>205</v>
      </c>
      <c r="E52" s="20" t="s">
        <v>30</v>
      </c>
      <c r="H52" s="13" t="s">
        <v>249</v>
      </c>
    </row>
    <row r="53" spans="2:8" x14ac:dyDescent="0.2">
      <c r="B53" s="30" t="s">
        <v>236</v>
      </c>
      <c r="C53" s="30" t="s">
        <v>254</v>
      </c>
      <c r="D53" s="57" t="s">
        <v>205</v>
      </c>
      <c r="E53" s="20" t="s">
        <v>30</v>
      </c>
      <c r="H53" s="55" t="s">
        <v>223</v>
      </c>
    </row>
    <row r="54" spans="2:8" x14ac:dyDescent="0.2">
      <c r="B54" s="30" t="s">
        <v>236</v>
      </c>
      <c r="C54" s="30" t="s">
        <v>255</v>
      </c>
      <c r="D54" s="57" t="s">
        <v>205</v>
      </c>
      <c r="E54" s="60" t="s">
        <v>30</v>
      </c>
      <c r="H54" s="13" t="s">
        <v>244</v>
      </c>
    </row>
    <row r="55" spans="2:8" x14ac:dyDescent="0.2">
      <c r="H55" s="55" t="s">
        <v>203</v>
      </c>
    </row>
    <row r="56" spans="2:8" x14ac:dyDescent="0.2">
      <c r="H56" s="13" t="s">
        <v>245</v>
      </c>
    </row>
    <row r="57" spans="2:8" x14ac:dyDescent="0.2">
      <c r="H57" s="55" t="s">
        <v>223</v>
      </c>
    </row>
    <row r="58" spans="2:8" x14ac:dyDescent="0.2">
      <c r="H58" s="13" t="s">
        <v>247</v>
      </c>
    </row>
    <row r="59" spans="2:8" x14ac:dyDescent="0.2">
      <c r="H59" s="55" t="s">
        <v>233</v>
      </c>
    </row>
    <row r="60" spans="2:8" x14ac:dyDescent="0.2">
      <c r="H60" s="13" t="s">
        <v>216</v>
      </c>
    </row>
    <row r="61" spans="2:8" x14ac:dyDescent="0.2">
      <c r="H61" s="55" t="s">
        <v>216</v>
      </c>
    </row>
    <row r="62" spans="2:8" x14ac:dyDescent="0.2">
      <c r="H62" s="13" t="s">
        <v>217</v>
      </c>
    </row>
    <row r="63" spans="2:8" x14ac:dyDescent="0.2">
      <c r="H63" s="55" t="s">
        <v>217</v>
      </c>
    </row>
    <row r="64" spans="2:8" x14ac:dyDescent="0.2">
      <c r="H64" s="13" t="s">
        <v>32</v>
      </c>
    </row>
    <row r="65" spans="8:8" x14ac:dyDescent="0.2">
      <c r="H65" s="55" t="s">
        <v>32</v>
      </c>
    </row>
    <row r="66" spans="8:8" x14ac:dyDescent="0.2">
      <c r="H66" s="13" t="s">
        <v>250</v>
      </c>
    </row>
    <row r="67" spans="8:8" x14ac:dyDescent="0.2">
      <c r="H67" s="55" t="s">
        <v>223</v>
      </c>
    </row>
    <row r="68" spans="8:8" x14ac:dyDescent="0.2">
      <c r="H68" s="13" t="s">
        <v>254</v>
      </c>
    </row>
    <row r="69" spans="8:8" x14ac:dyDescent="0.2">
      <c r="H69" s="55" t="s">
        <v>238</v>
      </c>
    </row>
    <row r="70" spans="8:8" x14ac:dyDescent="0.2">
      <c r="H70" s="55" t="s">
        <v>236</v>
      </c>
    </row>
    <row r="71" spans="8:8" x14ac:dyDescent="0.2">
      <c r="H71" s="13" t="s">
        <v>3</v>
      </c>
    </row>
    <row r="72" spans="8:8" x14ac:dyDescent="0.2">
      <c r="H72" s="55" t="s">
        <v>3</v>
      </c>
    </row>
    <row r="73" spans="8:8" x14ac:dyDescent="0.2">
      <c r="H73" s="13" t="s">
        <v>33</v>
      </c>
    </row>
    <row r="74" spans="8:8" x14ac:dyDescent="0.2">
      <c r="H74" s="55" t="s">
        <v>196</v>
      </c>
    </row>
    <row r="75" spans="8:8" x14ac:dyDescent="0.2">
      <c r="H75" s="55" t="s">
        <v>33</v>
      </c>
    </row>
    <row r="76" spans="8:8" x14ac:dyDescent="0.2">
      <c r="H76" s="13" t="s">
        <v>251</v>
      </c>
    </row>
    <row r="77" spans="8:8" x14ac:dyDescent="0.2">
      <c r="H77" s="55" t="s">
        <v>223</v>
      </c>
    </row>
    <row r="78" spans="8:8" x14ac:dyDescent="0.2">
      <c r="H78" s="13" t="s">
        <v>2</v>
      </c>
    </row>
    <row r="79" spans="8:8" x14ac:dyDescent="0.2">
      <c r="H79" s="55" t="s">
        <v>220</v>
      </c>
    </row>
    <row r="80" spans="8:8" x14ac:dyDescent="0.2">
      <c r="H80" s="55" t="s">
        <v>196</v>
      </c>
    </row>
    <row r="81" spans="8:8" x14ac:dyDescent="0.2">
      <c r="H81" s="55" t="s">
        <v>221</v>
      </c>
    </row>
    <row r="82" spans="8:8" x14ac:dyDescent="0.2">
      <c r="H82" s="55" t="s">
        <v>212</v>
      </c>
    </row>
    <row r="83" spans="8:8" x14ac:dyDescent="0.2">
      <c r="H83" s="55" t="s">
        <v>213</v>
      </c>
    </row>
    <row r="84" spans="8:8" x14ac:dyDescent="0.2">
      <c r="H84" s="55" t="s">
        <v>199</v>
      </c>
    </row>
    <row r="85" spans="8:8" x14ac:dyDescent="0.2">
      <c r="H85" s="55" t="s">
        <v>214</v>
      </c>
    </row>
    <row r="86" spans="8:8" x14ac:dyDescent="0.2">
      <c r="H86" s="55" t="s">
        <v>215</v>
      </c>
    </row>
    <row r="87" spans="8:8" x14ac:dyDescent="0.2">
      <c r="H87" s="13" t="s">
        <v>242</v>
      </c>
    </row>
    <row r="88" spans="8:8" x14ac:dyDescent="0.2">
      <c r="H88" s="55" t="s">
        <v>208</v>
      </c>
    </row>
    <row r="89" spans="8:8" x14ac:dyDescent="0.2">
      <c r="H89" s="13" t="s">
        <v>246</v>
      </c>
    </row>
    <row r="90" spans="8:8" x14ac:dyDescent="0.2">
      <c r="H90" s="55" t="s">
        <v>224</v>
      </c>
    </row>
    <row r="91" spans="8:8" x14ac:dyDescent="0.2">
      <c r="H91" s="55" t="s">
        <v>225</v>
      </c>
    </row>
    <row r="92" spans="8:8" x14ac:dyDescent="0.2">
      <c r="H92" s="55" t="s">
        <v>226</v>
      </c>
    </row>
    <row r="93" spans="8:8" x14ac:dyDescent="0.2">
      <c r="H93" s="55" t="s">
        <v>227</v>
      </c>
    </row>
    <row r="94" spans="8:8" x14ac:dyDescent="0.2">
      <c r="H94" s="55" t="s">
        <v>223</v>
      </c>
    </row>
    <row r="95" spans="8:8" x14ac:dyDescent="0.2">
      <c r="H95" s="55" t="s">
        <v>228</v>
      </c>
    </row>
    <row r="96" spans="8:8" x14ac:dyDescent="0.2">
      <c r="H96" s="55" t="s">
        <v>198</v>
      </c>
    </row>
    <row r="97" spans="8:8" x14ac:dyDescent="0.2">
      <c r="H97" s="13" t="s">
        <v>252</v>
      </c>
    </row>
    <row r="98" spans="8:8" x14ac:dyDescent="0.2">
      <c r="H98" s="55" t="s">
        <v>224</v>
      </c>
    </row>
    <row r="99" spans="8:8" x14ac:dyDescent="0.2">
      <c r="H99" s="55" t="s">
        <v>225</v>
      </c>
    </row>
    <row r="100" spans="8:8" x14ac:dyDescent="0.2">
      <c r="H100" s="55" t="s">
        <v>226</v>
      </c>
    </row>
    <row r="101" spans="8:8" x14ac:dyDescent="0.2">
      <c r="H101" s="55" t="s">
        <v>227</v>
      </c>
    </row>
    <row r="102" spans="8:8" x14ac:dyDescent="0.2">
      <c r="H102" s="55" t="s">
        <v>223</v>
      </c>
    </row>
    <row r="103" spans="8:8" x14ac:dyDescent="0.2">
      <c r="H103" s="55" t="s">
        <v>228</v>
      </c>
    </row>
    <row r="104" spans="8:8" x14ac:dyDescent="0.2">
      <c r="H104" s="55" t="s">
        <v>198</v>
      </c>
    </row>
    <row r="105" spans="8:8" x14ac:dyDescent="0.2">
      <c r="H105" s="13" t="s">
        <v>253</v>
      </c>
    </row>
    <row r="106" spans="8:8" x14ac:dyDescent="0.2">
      <c r="H106" s="55" t="s">
        <v>224</v>
      </c>
    </row>
    <row r="107" spans="8:8" x14ac:dyDescent="0.2">
      <c r="H107" s="55" t="s">
        <v>225</v>
      </c>
    </row>
    <row r="108" spans="8:8" x14ac:dyDescent="0.2">
      <c r="H108" s="55" t="s">
        <v>226</v>
      </c>
    </row>
    <row r="109" spans="8:8" x14ac:dyDescent="0.2">
      <c r="H109" s="55" t="s">
        <v>227</v>
      </c>
    </row>
    <row r="110" spans="8:8" x14ac:dyDescent="0.2">
      <c r="H110" s="55" t="s">
        <v>223</v>
      </c>
    </row>
    <row r="111" spans="8:8" x14ac:dyDescent="0.2">
      <c r="H111" s="55" t="s">
        <v>228</v>
      </c>
    </row>
    <row r="112" spans="8:8" x14ac:dyDescent="0.2">
      <c r="H112" s="55" t="s">
        <v>198</v>
      </c>
    </row>
    <row r="113" spans="8:8" x14ac:dyDescent="0.2">
      <c r="H113" s="13" t="s">
        <v>248</v>
      </c>
    </row>
    <row r="114" spans="8:8" x14ac:dyDescent="0.2">
      <c r="H114" s="55" t="s">
        <v>235</v>
      </c>
    </row>
    <row r="115" spans="8:8" x14ac:dyDescent="0.2">
      <c r="H115" s="55" t="s">
        <v>236</v>
      </c>
    </row>
    <row r="116" spans="8:8" x14ac:dyDescent="0.2">
      <c r="H116" s="55" t="s">
        <v>237</v>
      </c>
    </row>
    <row r="117" spans="8:8" x14ac:dyDescent="0.2">
      <c r="H117" s="13" t="s">
        <v>255</v>
      </c>
    </row>
    <row r="118" spans="8:8" x14ac:dyDescent="0.2">
      <c r="H118" s="55" t="s">
        <v>236</v>
      </c>
    </row>
  </sheetData>
  <autoFilter ref="B3:C54" xr:uid="{00000000-0009-0000-0000-000006000000}"/>
  <pageMargins bottom="0.75" footer="0.3" header="0.3" left="0.7" right="0.7" top="0.75"/>
  <pageSetup orientation="portrait" paperSize="9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34</vt:i4>
      </vt:variant>
    </vt:vector>
  </HeadingPairs>
  <TitlesOfParts>
    <vt:vector size="41" baseType="lpstr">
      <vt:lpstr>Дюрация</vt:lpstr>
      <vt:lpstr>ФОРМА СКБСЖ</vt:lpstr>
      <vt:lpstr>Свод</vt:lpstr>
      <vt:lpstr>Каналы</vt:lpstr>
      <vt:lpstr>Регионы</vt:lpstr>
      <vt:lpstr>спр</vt:lpstr>
      <vt:lpstr>ЛБ</vt:lpstr>
      <vt:lpstr>Агенты</vt:lpstr>
      <vt:lpstr>ГК</vt:lpstr>
      <vt:lpstr>Групп.пенсия</vt:lpstr>
      <vt:lpstr>ДМС</vt:lpstr>
      <vt:lpstr>ДМС_СИВ</vt:lpstr>
      <vt:lpstr>Индив.пенсия</vt:lpstr>
      <vt:lpstr>ИСЖ_СИВ</vt:lpstr>
      <vt:lpstr>ИСЖ_Уралсиб</vt:lpstr>
      <vt:lpstr>КорпЖ</vt:lpstr>
      <vt:lpstr>КорпНС</vt:lpstr>
      <vt:lpstr>Корпораты</vt:lpstr>
      <vt:lpstr>КСЖ</vt:lpstr>
      <vt:lpstr>КСЖ_СИВ</vt:lpstr>
      <vt:lpstr>КСЖ_Уралсиб</vt:lpstr>
      <vt:lpstr>Мульти</vt:lpstr>
      <vt:lpstr>НовыеТП</vt:lpstr>
      <vt:lpstr>Новый</vt:lpstr>
      <vt:lpstr>НП</vt:lpstr>
      <vt:lpstr>НС</vt:lpstr>
      <vt:lpstr>НС_СИВ</vt:lpstr>
      <vt:lpstr>НСЖ</vt:lpstr>
      <vt:lpstr>НСЖ_КБ</vt:lpstr>
      <vt:lpstr>НСЖ_новый</vt:lpstr>
      <vt:lpstr>НСЖ_СИВ</vt:lpstr>
      <vt:lpstr>НСЖ_СИВ_ДМС</vt:lpstr>
      <vt:lpstr>НСЖ_СИВ_НС</vt:lpstr>
      <vt:lpstr>НСЖ_Уралсиб</vt:lpstr>
      <vt:lpstr>Портфель</vt:lpstr>
      <vt:lpstr>Прочее_Уралсиб</vt:lpstr>
      <vt:lpstr>Регион</vt:lpstr>
      <vt:lpstr>Розница</vt:lpstr>
      <vt:lpstr>СКБСЖ</vt:lpstr>
      <vt:lpstr>Уралсиб</vt:lpstr>
      <vt:lpstr>Уралсиб_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Сергиенко Юлия Владимировна</dc:creator>
  <cp:lastModifiedBy>Microsoft Office User</cp:lastModifiedBy>
  <dcterms:created xsi:type="dcterms:W3CDTF">2025-09-26T09:45:43Z</dcterms:created>
  <dcterms:modified xsi:type="dcterms:W3CDTF">2025-11-21T17:49:14Z</dcterms:modified>
</cp:coreProperties>
</file>